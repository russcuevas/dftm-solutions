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770" windowHeight="114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<sst xmlns="http://schemas.openxmlformats.org/spreadsheetml/2006/main" count="395" uniqueCount="191">
  <si>
    <t>DESCRIPTION</t>
  </si>
  <si>
    <t>UNIT</t>
  </si>
  <si>
    <t>COST</t>
  </si>
  <si>
    <t>BEGINNING</t>
  </si>
  <si>
    <t>TOTAL IN</t>
  </si>
  <si>
    <t>TOTAL OUT</t>
  </si>
  <si>
    <t>REMAINING</t>
  </si>
  <si>
    <t>AMOUNT</t>
  </si>
  <si>
    <t>BOXES</t>
  </si>
  <si>
    <t>IN</t>
  </si>
  <si>
    <t>OUT</t>
  </si>
  <si>
    <t>Big box Single wall 10'S</t>
  </si>
  <si>
    <t>BUNDLE</t>
  </si>
  <si>
    <t>SURF 2 SAWA Small box 25'S</t>
  </si>
  <si>
    <t>BIDA FIBER Small box  25'S</t>
  </si>
  <si>
    <t>Plain Small box 25'S</t>
  </si>
  <si>
    <t>Pads</t>
  </si>
  <si>
    <t>PCS</t>
  </si>
  <si>
    <t>RAGS</t>
  </si>
  <si>
    <t>White Rags 100's</t>
  </si>
  <si>
    <t>Colored Rags 100's</t>
  </si>
  <si>
    <t>PAPER</t>
  </si>
  <si>
    <t>SHORT BOND PAPER</t>
  </si>
  <si>
    <t>REAM</t>
  </si>
  <si>
    <t>LONG BOND PAPER</t>
  </si>
  <si>
    <t>A4 BOND PAPER</t>
  </si>
  <si>
    <t>News Print Long</t>
  </si>
  <si>
    <t>News Print Short</t>
  </si>
  <si>
    <t>VECO MATTE STICKER</t>
  </si>
  <si>
    <t>PCK</t>
  </si>
  <si>
    <t>GLOSSY A4 STICKER</t>
  </si>
  <si>
    <t>ITECH A4 VINYL STICKER</t>
  </si>
  <si>
    <t>VECO CLEAR STICKER</t>
  </si>
  <si>
    <t>GREASE PAPER 1000'S</t>
  </si>
  <si>
    <t>PROD MATERIALS</t>
  </si>
  <si>
    <t>COTTON BUDS 10's</t>
  </si>
  <si>
    <t>WASH BRUSH</t>
  </si>
  <si>
    <t>SPRAY BOTTLE</t>
  </si>
  <si>
    <t>TOOTH BRUSH</t>
  </si>
  <si>
    <t>CUTTER REFFIL</t>
  </si>
  <si>
    <t>MASKING TAPE</t>
  </si>
  <si>
    <t>PACKING TAPE</t>
  </si>
  <si>
    <t>STATIONARY TAPE SMALL</t>
  </si>
  <si>
    <t>STATIONARY TAPE BIG</t>
  </si>
  <si>
    <t>DOUBLE SIDED TAPE</t>
  </si>
  <si>
    <t>ELECTRICAL TAPE</t>
  </si>
  <si>
    <t>PAINT BRUSH</t>
  </si>
  <si>
    <t>STEEL BRUSH WOODEN</t>
  </si>
  <si>
    <t>STEEL BRUSH BIG</t>
  </si>
  <si>
    <t>SPATULA</t>
  </si>
  <si>
    <t>GLOVES</t>
  </si>
  <si>
    <t>BOX</t>
  </si>
  <si>
    <t>TECH MATERIALS</t>
  </si>
  <si>
    <t>SOLDERING PASTE</t>
  </si>
  <si>
    <t>SOLDERING LED</t>
  </si>
  <si>
    <t>WD 40</t>
  </si>
  <si>
    <t>CONTACT CLEANER</t>
  </si>
  <si>
    <t>SOLDERING IRON 60W</t>
  </si>
  <si>
    <t>SOLDERING IRON30W</t>
  </si>
  <si>
    <t>SOLDERING TIP  60</t>
  </si>
  <si>
    <t>SOLDERING TIP 30</t>
  </si>
  <si>
    <t>RJ45</t>
  </si>
  <si>
    <t>SOLDERING PUMP</t>
  </si>
  <si>
    <t>DESOLDERING WIRE</t>
  </si>
  <si>
    <t>GREENFIELDSCREW DRIVER 125MM</t>
  </si>
  <si>
    <t>GREENFIELDSCREW DRIVER 15MM</t>
  </si>
  <si>
    <t>LONG NOSE PLIERS 6"</t>
  </si>
  <si>
    <t>CUTTER PLIERS</t>
  </si>
  <si>
    <t>COMBINATION PLIERS6'/ MINI</t>
  </si>
  <si>
    <t>TWISTIE</t>
  </si>
  <si>
    <t>T8</t>
  </si>
  <si>
    <t>9V BATTERY</t>
  </si>
  <si>
    <t>AAA BATTERY</t>
  </si>
  <si>
    <t>AA BATTERY</t>
  </si>
  <si>
    <t>ANALOG TESTER</t>
  </si>
  <si>
    <t>SOLDERING WIRE</t>
  </si>
  <si>
    <t>STEAL WOOL</t>
  </si>
  <si>
    <t>SOLDERING STAND</t>
  </si>
  <si>
    <t>NEEDLE FILE</t>
  </si>
  <si>
    <t>MAGNIFYING GLASS</t>
  </si>
  <si>
    <t>CONNECTOR</t>
  </si>
  <si>
    <t>LOTUS PLIERS SET</t>
  </si>
  <si>
    <t>T15</t>
  </si>
  <si>
    <t>MISCELLANEOUS</t>
  </si>
  <si>
    <t>FACEMASK 100'S</t>
  </si>
  <si>
    <t>kn95 mask</t>
  </si>
  <si>
    <t>Trash Bag 100's (Small)</t>
  </si>
  <si>
    <t>Trash Bag 100's (Large)</t>
  </si>
  <si>
    <t>Trash Bag 100's (XLarge)</t>
  </si>
  <si>
    <t>Trash Bag 50'S XXL</t>
  </si>
  <si>
    <t>ROLL</t>
  </si>
  <si>
    <t>MOUSE</t>
  </si>
  <si>
    <t>DONGLE</t>
  </si>
  <si>
    <t>bosny CLEAR PAINT</t>
  </si>
  <si>
    <t>GLUE STICK</t>
  </si>
  <si>
    <t>CHEMICAL</t>
  </si>
  <si>
    <t>Lacquer Thinner</t>
  </si>
  <si>
    <t>Paint Thinner</t>
  </si>
  <si>
    <t>ParaLux Rubbing Compound</t>
  </si>
  <si>
    <t>Wipe Out</t>
  </si>
  <si>
    <t>OFFICE SUPPLIES</t>
  </si>
  <si>
    <t>Asticky note</t>
  </si>
  <si>
    <t>PAD</t>
  </si>
  <si>
    <t>INDEX CARD 1/4</t>
  </si>
  <si>
    <t>Ballpen Black</t>
  </si>
  <si>
    <t>Ballpen Blue</t>
  </si>
  <si>
    <t>Ballpen Red</t>
  </si>
  <si>
    <t>Binder Clip 2"</t>
  </si>
  <si>
    <t>Box</t>
  </si>
  <si>
    <t>Binder Clip 1 5/8</t>
  </si>
  <si>
    <t>Binder Clip 1 1/4</t>
  </si>
  <si>
    <t>Binder Clip 1"</t>
  </si>
  <si>
    <t>Binder Clip 3/4</t>
  </si>
  <si>
    <t>RULER</t>
  </si>
  <si>
    <t>SLIDER</t>
  </si>
  <si>
    <t>Brown Envelope Long</t>
  </si>
  <si>
    <t>Brown Envelope Short</t>
  </si>
  <si>
    <t>HIGH LIGHTER</t>
  </si>
  <si>
    <t>Correction Tape</t>
  </si>
  <si>
    <t>Elmers Glue 130g</t>
  </si>
  <si>
    <t>Fastener (Plastic)</t>
  </si>
  <si>
    <t>Folder Long Kraft</t>
  </si>
  <si>
    <t>Folder Long White</t>
  </si>
  <si>
    <t>Folder Short Kraft</t>
  </si>
  <si>
    <t>Folder Short White</t>
  </si>
  <si>
    <t>Gel Pen Black</t>
  </si>
  <si>
    <t>Gel Pen Blue</t>
  </si>
  <si>
    <t>Gel Pen Red</t>
  </si>
  <si>
    <t>Fastener metal</t>
  </si>
  <si>
    <t>BX</t>
  </si>
  <si>
    <t>Notebook</t>
  </si>
  <si>
    <t>Paper Clip 33mm</t>
  </si>
  <si>
    <t>Paper Clip 50mm</t>
  </si>
  <si>
    <t>Pencil</t>
  </si>
  <si>
    <t>Pentel Pen (Black)</t>
  </si>
  <si>
    <t>Pentel Pen (Blue)</t>
  </si>
  <si>
    <t>Pentel Pen (Red)</t>
  </si>
  <si>
    <t>Pilot Refill Ink</t>
  </si>
  <si>
    <t>BOT</t>
  </si>
  <si>
    <t>Puncher</t>
  </si>
  <si>
    <t>Push Pin 100's</t>
  </si>
  <si>
    <t>Rubber Band</t>
  </si>
  <si>
    <t>Staple Wire #10</t>
  </si>
  <si>
    <t>Staple Wire #35</t>
  </si>
  <si>
    <t>Stapler</t>
  </si>
  <si>
    <t>Tape Dispenser for Packaging Tape</t>
  </si>
  <si>
    <t>Tape Dispenser for Scotch Tape</t>
  </si>
  <si>
    <t>Petty cash Voucher</t>
  </si>
  <si>
    <t>Thickler</t>
  </si>
  <si>
    <t>WHITE BOARD MARKER BLK</t>
  </si>
  <si>
    <t>Card Case</t>
  </si>
  <si>
    <t>Plastik Envelope</t>
  </si>
  <si>
    <t>Expanding Plastik Envelope</t>
  </si>
  <si>
    <t>PRINTING</t>
  </si>
  <si>
    <t>Cutting Mat A3</t>
  </si>
  <si>
    <t>Rubber Mat A3</t>
  </si>
  <si>
    <t>INKRITE SET</t>
  </si>
  <si>
    <t>Canon Ink  Black ( inkrite big )</t>
  </si>
  <si>
    <t>Canon Ink  Cyan</t>
  </si>
  <si>
    <t>Canon Ink  Magenta</t>
  </si>
  <si>
    <t>Canon Ink  Yellow</t>
  </si>
  <si>
    <t>Epson Ink Black</t>
  </si>
  <si>
    <t>Epson Ink Cyan</t>
  </si>
  <si>
    <t>Epson Ink Magenta</t>
  </si>
  <si>
    <t>Epson Ink Yellow</t>
  </si>
  <si>
    <t>Cleaning Solution</t>
  </si>
  <si>
    <t>Pigment Ink Black 500ml</t>
  </si>
  <si>
    <t>Pigment Ink Cyan 500ml</t>
  </si>
  <si>
    <t>Pigment Ink Magenta 500ml</t>
  </si>
  <si>
    <t>Pigment Ink Yellow 500ml</t>
  </si>
  <si>
    <t>TM21 Refill Ink</t>
  </si>
  <si>
    <t>HP GT INK BLK</t>
  </si>
  <si>
    <t>HP GT INK CYAN</t>
  </si>
  <si>
    <t>HP GT INK MAGENTA</t>
  </si>
  <si>
    <t>HP GT INK YELLOW</t>
  </si>
  <si>
    <t>SAND PAPER</t>
  </si>
  <si>
    <t>JANITORIAL SUPPLIES</t>
  </si>
  <si>
    <t>Broom&amp;Dustpan</t>
  </si>
  <si>
    <t>SET</t>
  </si>
  <si>
    <t>Zonrox 1L</t>
  </si>
  <si>
    <t>Liter</t>
  </si>
  <si>
    <t>Zonrox</t>
  </si>
  <si>
    <t>Gal</t>
  </si>
  <si>
    <t>Alcohol 1 gal</t>
  </si>
  <si>
    <t>Fabric Conditioner</t>
  </si>
  <si>
    <t>Dishwashing Liquid gal</t>
  </si>
  <si>
    <t>Powder Detergent 1kg</t>
  </si>
  <si>
    <t>Safeguard soap</t>
  </si>
  <si>
    <t>Sponge</t>
  </si>
  <si>
    <t>Spinning mop / regular mop</t>
  </si>
  <si>
    <t>Door 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</si>
</sst>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[$-409]d\-mmm"/>
    <numFmt numFmtId="180" formatCode="&quot;₱&quot;#,##0.00;\-&quot;₱&quot;#,##0.00"/>
  </numFmts>
  <fonts count="25">
    <font>
      <sz val="11"/>
      <color theme="1"/>
      <name val="Calibri"/>
      <charset val="134"/>
      <scheme val="minor"/>
    </font>
    <font>
      <b/>
      <i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9CC3E5"/>
        <bgColor rgb="FF9CC3E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8" borderId="7">
      <alignment vertical="center"/>
    </xf>
    <xf numFmtId="0" fontId="15" fillId="9" borderId="8">
      <alignment vertical="center"/>
    </xf>
    <xf numFmtId="0" fontId="16" fillId="9" borderId="7">
      <alignment vertical="center"/>
    </xf>
    <xf numFmtId="0" fontId="17" fillId="10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78" fontId="2" fillId="2" borderId="1" xfId="0" applyNumberFormat="1" applyFont="1" applyFill="1" applyBorder="1" applyAlignment="1">
      <alignment horizontal="center"/>
    </xf>
    <xf numFmtId="179" fontId="2" fillId="2" borderId="1" xfId="0" applyNumberFormat="1" applyFont="1" applyFill="1" applyBorder="1" applyAlignment="1">
      <alignment horizontal="center"/>
    </xf>
    <xf numFmtId="0" fontId="0" fillId="0" borderId="2" xfId="0" applyBorder="1" applyAlignment="1"/>
    <xf numFmtId="0" fontId="3" fillId="3" borderId="1" xfId="0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78" fontId="2" fillId="0" borderId="1" xfId="0" applyNumberFormat="1" applyFont="1" applyBorder="1" applyAlignment="1">
      <alignment horizontal="right" wrapText="1" readingOrder="1"/>
    </xf>
    <xf numFmtId="0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wrapText="1" readingOrder="1"/>
    </xf>
    <xf numFmtId="3" fontId="2" fillId="0" borderId="1" xfId="0" applyNumberFormat="1" applyFont="1" applyBorder="1" applyAlignment="1">
      <alignment horizontal="center" wrapText="1" readingOrder="1"/>
    </xf>
    <xf numFmtId="3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178" fontId="2" fillId="4" borderId="1" xfId="0" applyNumberFormat="1" applyFont="1" applyFill="1" applyBorder="1" applyAlignment="1">
      <alignment horizontal="right" wrapText="1" readingOrder="1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 readingOrder="1"/>
    </xf>
    <xf numFmtId="178" fontId="4" fillId="4" borderId="1" xfId="0" applyNumberFormat="1" applyFont="1" applyFill="1" applyBorder="1" applyAlignment="1">
      <alignment horizontal="left" wrapText="1" readingOrder="1"/>
    </xf>
    <xf numFmtId="180" fontId="2" fillId="4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178" fontId="4" fillId="0" borderId="1" xfId="0" applyNumberFormat="1" applyFont="1" applyBorder="1" applyAlignment="1">
      <alignment horizontal="left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178" fontId="4" fillId="5" borderId="1" xfId="0" applyNumberFormat="1" applyFont="1" applyFill="1" applyBorder="1" applyAlignment="1">
      <alignment horizontal="left" wrapText="1" readingOrder="1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/>
    <xf numFmtId="180" fontId="2" fillId="5" borderId="1" xfId="0" applyNumberFormat="1" applyFont="1" applyFill="1" applyBorder="1" applyAlignment="1">
      <alignment horizontal="center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78" fontId="4" fillId="0" borderId="1" xfId="0" applyNumberFormat="1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90"/>
  <sheetViews>
    <sheetView tabSelected="1" workbookViewId="0">
      <pane xSplit="1" topLeftCell="B1" activePane="topRight" state="frozen"/>
      <selection/>
      <selection pane="topRight" activeCell="F15" sqref="F15"/>
    </sheetView>
  </sheetViews>
  <sheetFormatPr defaultColWidth="9.14285714285714" defaultRowHeight="15"/>
  <cols>
    <col min="1" max="1" width="22.8571428571429" style="1" customWidth="1"/>
    <col min="4" max="4" width="12.5714285714286" customWidth="1"/>
    <col min="5" max="66" width="7.14285714285714" customWidth="1"/>
    <col min="67" max="67" width="10.5714285714286" customWidth="1"/>
    <col min="68" max="68" width="12.8571428571429" customWidth="1"/>
    <col min="69" max="69" width="13.5714285714286" customWidth="1"/>
    <col min="70" max="70" width="11" customWidth="1"/>
  </cols>
  <sheetData>
    <row r="1" ht="15.75" spans="1:70">
      <c r="A1" s="2" t="s">
        <v>0</v>
      </c>
      <c r="B1" s="3" t="s">
        <v>1</v>
      </c>
      <c r="C1" s="4" t="s">
        <v>2</v>
      </c>
      <c r="D1" s="3" t="s">
        <v>3</v>
      </c>
      <c r="E1" s="5">
        <v>46266</v>
      </c>
      <c r="F1" s="6"/>
      <c r="G1" s="5">
        <v>46267</v>
      </c>
      <c r="H1" s="6"/>
      <c r="I1" s="5">
        <v>46268</v>
      </c>
      <c r="J1" s="6"/>
      <c r="K1" s="5">
        <v>46269</v>
      </c>
      <c r="L1" s="6"/>
      <c r="M1" s="5">
        <v>46270</v>
      </c>
      <c r="N1" s="6"/>
      <c r="O1" s="5">
        <v>46271</v>
      </c>
      <c r="P1" s="6"/>
      <c r="Q1" s="5">
        <v>46272</v>
      </c>
      <c r="R1" s="6"/>
      <c r="S1" s="5">
        <v>46273</v>
      </c>
      <c r="T1" s="6"/>
      <c r="U1" s="5">
        <v>46274</v>
      </c>
      <c r="V1" s="6"/>
      <c r="W1" s="5">
        <v>46275</v>
      </c>
      <c r="X1" s="6"/>
      <c r="Y1" s="5">
        <v>46276</v>
      </c>
      <c r="Z1" s="6"/>
      <c r="AA1" s="5">
        <v>46277</v>
      </c>
      <c r="AB1" s="6"/>
      <c r="AC1" s="5">
        <v>46278</v>
      </c>
      <c r="AD1" s="6"/>
      <c r="AE1" s="5">
        <v>46279</v>
      </c>
      <c r="AF1" s="6"/>
      <c r="AG1" s="5">
        <v>46280</v>
      </c>
      <c r="AH1" s="6"/>
      <c r="AI1" s="5">
        <v>46281</v>
      </c>
      <c r="AJ1" s="6"/>
      <c r="AK1" s="5">
        <v>46282</v>
      </c>
      <c r="AL1" s="6"/>
      <c r="AM1" s="5">
        <v>46283</v>
      </c>
      <c r="AN1" s="6"/>
      <c r="AO1" s="5">
        <v>46284</v>
      </c>
      <c r="AP1" s="6"/>
      <c r="AQ1" s="5">
        <v>46285</v>
      </c>
      <c r="AR1" s="6"/>
      <c r="AS1" s="5">
        <v>46286</v>
      </c>
      <c r="AT1" s="6"/>
      <c r="AU1" s="5">
        <v>46287</v>
      </c>
      <c r="AV1" s="6"/>
      <c r="AW1" s="5">
        <v>46288</v>
      </c>
      <c r="AX1" s="6"/>
      <c r="AY1" s="5">
        <v>46289</v>
      </c>
      <c r="AZ1" s="6"/>
      <c r="BA1" s="5">
        <v>46290</v>
      </c>
      <c r="BB1" s="6"/>
      <c r="BC1" s="5">
        <v>46291</v>
      </c>
      <c r="BD1" s="6"/>
      <c r="BE1" s="5">
        <v>46292</v>
      </c>
      <c r="BF1" s="6"/>
      <c r="BG1" s="5">
        <v>46293</v>
      </c>
      <c r="BH1" s="6"/>
      <c r="BI1" s="5">
        <v>46294</v>
      </c>
      <c r="BJ1" s="6"/>
      <c r="BK1" s="5">
        <v>46295</v>
      </c>
      <c r="BL1" s="6"/>
      <c r="BM1" s="5"/>
      <c r="BN1" s="6"/>
      <c r="BO1" s="7" t="s">
        <v>4</v>
      </c>
      <c r="BP1" s="7" t="s">
        <v>5</v>
      </c>
      <c r="BQ1" s="7" t="s">
        <v>6</v>
      </c>
      <c r="BR1" s="8" t="s">
        <v>7</v>
      </c>
    </row>
    <row r="2" ht="15.75" customHeight="1" spans="1:70">
      <c r="A2" s="9" t="s">
        <v>8</v>
      </c>
      <c r="B2" s="10"/>
      <c r="C2" s="11"/>
      <c r="D2" s="10"/>
      <c r="E2" s="12" t="s">
        <v>9</v>
      </c>
      <c r="F2" s="10" t="s">
        <v>10</v>
      </c>
      <c r="G2" s="12" t="s">
        <v>9</v>
      </c>
      <c r="H2" s="10" t="s">
        <v>10</v>
      </c>
      <c r="I2" s="12" t="s">
        <v>9</v>
      </c>
      <c r="J2" s="10" t="s">
        <v>10</v>
      </c>
      <c r="K2" s="12" t="s">
        <v>9</v>
      </c>
      <c r="L2" s="10" t="s">
        <v>10</v>
      </c>
      <c r="M2" s="12" t="s">
        <v>9</v>
      </c>
      <c r="N2" s="10" t="s">
        <v>10</v>
      </c>
      <c r="O2" s="12" t="s">
        <v>9</v>
      </c>
      <c r="P2" s="10" t="s">
        <v>10</v>
      </c>
      <c r="Q2" s="12" t="s">
        <v>9</v>
      </c>
      <c r="R2" s="10" t="s">
        <v>10</v>
      </c>
      <c r="S2" s="12" t="s">
        <v>9</v>
      </c>
      <c r="T2" s="10" t="s">
        <v>10</v>
      </c>
      <c r="U2" s="12" t="s">
        <v>9</v>
      </c>
      <c r="V2" s="10" t="s">
        <v>10</v>
      </c>
      <c r="W2" s="12"/>
      <c r="X2" s="10" t="s">
        <v>10</v>
      </c>
      <c r="Y2" s="12" t="s">
        <v>9</v>
      </c>
      <c r="Z2" s="10" t="s">
        <v>10</v>
      </c>
      <c r="AA2" s="12" t="s">
        <v>9</v>
      </c>
      <c r="AB2" s="10" t="s">
        <v>10</v>
      </c>
      <c r="AC2" s="12" t="s">
        <v>9</v>
      </c>
      <c r="AD2" s="10" t="s">
        <v>10</v>
      </c>
      <c r="AE2" s="12" t="s">
        <v>9</v>
      </c>
      <c r="AF2" s="10" t="s">
        <v>10</v>
      </c>
      <c r="AG2" s="12" t="s">
        <v>9</v>
      </c>
      <c r="AH2" s="10" t="s">
        <v>10</v>
      </c>
      <c r="AI2" s="12" t="s">
        <v>9</v>
      </c>
      <c r="AJ2" s="10" t="s">
        <v>10</v>
      </c>
      <c r="AK2" s="12" t="s">
        <v>9</v>
      </c>
      <c r="AL2" s="10" t="s">
        <v>10</v>
      </c>
      <c r="AM2" s="12" t="s">
        <v>9</v>
      </c>
      <c r="AN2" s="10" t="s">
        <v>10</v>
      </c>
      <c r="AO2" s="12" t="s">
        <v>9</v>
      </c>
      <c r="AP2" s="10" t="s">
        <v>10</v>
      </c>
      <c r="AQ2" s="12" t="s">
        <v>9</v>
      </c>
      <c r="AR2" s="10" t="s">
        <v>10</v>
      </c>
      <c r="AS2" s="12" t="s">
        <v>9</v>
      </c>
      <c r="AT2" s="10" t="s">
        <v>10</v>
      </c>
      <c r="AU2" s="12" t="s">
        <v>9</v>
      </c>
      <c r="AV2" s="10" t="s">
        <v>10</v>
      </c>
      <c r="AW2" s="12" t="s">
        <v>9</v>
      </c>
      <c r="AX2" s="10" t="s">
        <v>10</v>
      </c>
      <c r="AY2" s="12" t="s">
        <v>9</v>
      </c>
      <c r="AZ2" s="10" t="s">
        <v>10</v>
      </c>
      <c r="BA2" s="12" t="s">
        <v>9</v>
      </c>
      <c r="BB2" s="10" t="s">
        <v>10</v>
      </c>
      <c r="BC2" s="12" t="s">
        <v>9</v>
      </c>
      <c r="BD2" s="10" t="s">
        <v>10</v>
      </c>
      <c r="BE2" s="12" t="s">
        <v>9</v>
      </c>
      <c r="BF2" s="10" t="s">
        <v>10</v>
      </c>
      <c r="BG2" s="12" t="s">
        <v>9</v>
      </c>
      <c r="BH2" s="10" t="s">
        <v>10</v>
      </c>
      <c r="BI2" s="12" t="s">
        <v>9</v>
      </c>
      <c r="BJ2" s="10" t="s">
        <v>10</v>
      </c>
      <c r="BK2" s="12" t="s">
        <v>9</v>
      </c>
      <c r="BL2" s="10" t="s">
        <v>10</v>
      </c>
      <c r="BM2" s="12" t="s">
        <v>9</v>
      </c>
      <c r="BN2" s="10" t="s">
        <v>10</v>
      </c>
      <c r="BO2" s="13"/>
      <c r="BP2" s="13"/>
      <c r="BQ2" s="13"/>
      <c r="BR2" s="13"/>
    </row>
    <row r="3" customHeight="1" spans="1:70">
      <c r="A3" s="14" t="s">
        <v>11</v>
      </c>
      <c r="B3" s="15" t="s">
        <v>12</v>
      </c>
      <c r="C3" s="16"/>
      <c r="D3" s="17">
        <v>31</v>
      </c>
      <c r="E3" s="18"/>
      <c r="F3" s="19">
        <v>2</v>
      </c>
      <c r="G3" s="19"/>
      <c r="H3" s="19"/>
      <c r="I3" s="19"/>
      <c r="J3" s="19">
        <v>2</v>
      </c>
      <c r="K3" s="19"/>
      <c r="L3" s="19">
        <v>2</v>
      </c>
      <c r="M3" s="19"/>
      <c r="N3" s="19"/>
      <c r="O3" s="19"/>
      <c r="P3" s="19"/>
      <c r="Q3" s="19"/>
      <c r="R3" s="19"/>
      <c r="S3" s="19"/>
      <c r="T3" s="19"/>
      <c r="U3" s="19"/>
      <c r="W3" s="19"/>
      <c r="X3" s="19"/>
      <c r="Y3" s="19"/>
      <c r="Z3" s="19"/>
      <c r="AA3" s="20"/>
      <c r="AB3" s="20"/>
      <c r="AC3" s="20"/>
      <c r="AD3" s="20"/>
      <c r="AE3" s="19"/>
      <c r="AF3" s="20"/>
      <c r="AG3" s="19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19">
        <f t="shared" ref="BO3:BO69" si="0">SUM(D3,E3,G3,I3,K3,M3,O3,Q3,S3,U3,Y3,AA3,AC3,AE3,AG3,AI3,AK3,AM3,AO3,AQ3,AS3,AU3,AW3,AY3,BA3,BC3,BE3,BG3,BI3,BK3,BM3)</f>
        <v>31</v>
      </c>
      <c r="BP3" s="19">
        <f t="shared" ref="BP3:BP69" si="1">SUM(F3,H3,J3,L3,N3,P3,R3,T3,V3,X3,Z3,AB3,AD3,AF3,AH3,AJ3,AL3,AN3,AP3,AR3,AT3,AV3,AX3,AZ3,BB3,BD3,BF3,BH3,BJ3,BL3,BN3)</f>
        <v>6</v>
      </c>
      <c r="BQ3" s="19">
        <f>BO3-BP3</f>
        <v>25</v>
      </c>
      <c r="BR3" s="19">
        <f>BQ3*C3</f>
        <v>0</v>
      </c>
    </row>
    <row r="4" customHeight="1" spans="1:70">
      <c r="A4" s="14" t="s">
        <v>13</v>
      </c>
      <c r="B4" s="15" t="s">
        <v>12</v>
      </c>
      <c r="C4" s="16"/>
      <c r="D4" s="21">
        <v>118</v>
      </c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0"/>
      <c r="AB4" s="20"/>
      <c r="AC4" s="20"/>
      <c r="AD4" s="20"/>
      <c r="AE4" s="19"/>
      <c r="AF4" s="20"/>
      <c r="AG4" s="19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19">
        <f t="shared" si="0"/>
        <v>118</v>
      </c>
      <c r="BP4" s="19">
        <f t="shared" si="1"/>
        <v>0</v>
      </c>
      <c r="BQ4" s="19">
        <f>BO4-BP4</f>
        <v>118</v>
      </c>
      <c r="BR4" s="19">
        <f>BP4+BN4+BL4+BJ4+BH4+BF4+BD4+BB4+AZ4+AX4+AV4+AT4+AR4+AP4+AN4+AL4+AJ4+AH4+AF4+AD4+AB4+Z4+X4+V4+T4+R4+P4+N4+L4+J4+H4+G4</f>
        <v>0</v>
      </c>
    </row>
    <row r="5" customHeight="1" spans="1:70">
      <c r="A5" s="14" t="s">
        <v>14</v>
      </c>
      <c r="B5" s="15" t="s">
        <v>12</v>
      </c>
      <c r="C5" s="16"/>
      <c r="D5" s="21">
        <v>1</v>
      </c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/>
      <c r="AB5" s="20"/>
      <c r="AC5" s="20"/>
      <c r="AD5" s="20"/>
      <c r="AE5" s="19"/>
      <c r="AF5" s="20"/>
      <c r="AG5" s="19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19">
        <f t="shared" si="0"/>
        <v>1</v>
      </c>
      <c r="BP5" s="19">
        <f t="shared" si="1"/>
        <v>0</v>
      </c>
      <c r="BQ5" s="19">
        <f>BO5-BP5</f>
        <v>1</v>
      </c>
      <c r="BR5" s="19">
        <f>BP5+BN5+BL5+BJ5+BH5+BF5+BD5+BB5+AZ5+AX5+AV5+AT5+AR5+AP5+AN5+AL5+AJ5+AH5+AF5+AD5+AB5+Z5+X5+V5+T5+R5+P5+N5+L5+J5+H5+G5</f>
        <v>0</v>
      </c>
    </row>
    <row r="6" customHeight="1" spans="1:70">
      <c r="A6" s="14" t="s">
        <v>15</v>
      </c>
      <c r="B6" s="15" t="s">
        <v>12</v>
      </c>
      <c r="C6" s="16"/>
      <c r="D6" s="21">
        <v>0</v>
      </c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19"/>
      <c r="AF6" s="20"/>
      <c r="AG6" s="19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19">
        <f t="shared" si="0"/>
        <v>0</v>
      </c>
      <c r="BP6" s="19">
        <f t="shared" si="1"/>
        <v>0</v>
      </c>
      <c r="BQ6" s="19">
        <f>BO6-BP6</f>
        <v>0</v>
      </c>
      <c r="BR6" s="19">
        <f>BP6+BN6+BL6+BJ6+BH6+BF6+BD6+BB6+AZ6+AX6+AV6+AT6+AR6+AP6+AN6+AL6+AJ6+AH6+AF6+AD6+AB6+Z6+X6+V6+T6+R6+P6+N6+L6+J6+H6+G6</f>
        <v>0</v>
      </c>
    </row>
    <row r="7" customHeight="1" spans="1:70">
      <c r="A7" s="14" t="s">
        <v>16</v>
      </c>
      <c r="B7" s="15" t="s">
        <v>17</v>
      </c>
      <c r="C7" s="16"/>
      <c r="D7" s="22">
        <v>4800</v>
      </c>
      <c r="E7" s="22"/>
      <c r="F7" s="22"/>
      <c r="G7" s="22"/>
      <c r="H7" s="22"/>
      <c r="I7" s="22"/>
      <c r="J7" s="22"/>
      <c r="K7" s="22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0"/>
      <c r="BH7" s="20"/>
      <c r="BI7" s="20"/>
      <c r="BJ7" s="20"/>
      <c r="BK7" s="20"/>
      <c r="BL7" s="20"/>
      <c r="BM7" s="20"/>
      <c r="BN7" s="20"/>
      <c r="BO7" s="23">
        <f t="shared" si="0"/>
        <v>4800</v>
      </c>
      <c r="BP7" s="23">
        <f t="shared" si="1"/>
        <v>0</v>
      </c>
      <c r="BQ7" s="19">
        <f>BO7-BP7</f>
        <v>4800</v>
      </c>
      <c r="BR7" s="23">
        <f>BP7+BN7+BL7+BJ7+BH7+BF7+BD7+BB7+AZ7+AX7+AV7+AT7+AR7+AP7+AN7+AL7+AJ7+AH7+AF7+AD7+AB7+Z7+X7+V7+T7+R7+P7+N7+L7+J7+H7+G7</f>
        <v>0</v>
      </c>
    </row>
    <row r="8" customHeight="1" spans="1:70">
      <c r="A8" s="24" t="s">
        <v>18</v>
      </c>
      <c r="B8" s="25"/>
      <c r="C8" s="26"/>
      <c r="D8" s="26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9"/>
      <c r="AB8" s="29"/>
      <c r="AC8" s="29"/>
      <c r="AD8" s="29"/>
      <c r="AE8" s="28"/>
      <c r="AF8" s="29"/>
      <c r="AG8" s="28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30"/>
      <c r="BP8" s="30"/>
      <c r="BQ8" s="30"/>
      <c r="BR8" s="30"/>
    </row>
    <row r="9" customHeight="1" spans="1:70">
      <c r="A9" s="14" t="s">
        <v>19</v>
      </c>
      <c r="B9" s="15" t="s">
        <v>12</v>
      </c>
      <c r="C9" s="16"/>
      <c r="D9" s="21">
        <v>41</v>
      </c>
      <c r="E9" s="18"/>
      <c r="F9" s="19">
        <v>1</v>
      </c>
      <c r="G9" s="19"/>
      <c r="H9" s="19"/>
      <c r="I9" s="19"/>
      <c r="J9" s="19">
        <v>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Y9" s="19"/>
      <c r="Z9" s="19"/>
      <c r="AA9" s="20"/>
      <c r="AB9" s="20"/>
      <c r="AC9" s="20"/>
      <c r="AD9" s="20"/>
      <c r="AE9" s="19"/>
      <c r="AF9" s="20"/>
      <c r="AG9" s="19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19">
        <f t="shared" si="0"/>
        <v>41</v>
      </c>
      <c r="BP9" s="19">
        <f t="shared" si="1"/>
        <v>2</v>
      </c>
      <c r="BQ9" s="19">
        <f t="shared" ref="BQ3:BQ69" si="2">BO9-BP9</f>
        <v>39</v>
      </c>
      <c r="BR9" s="19">
        <f>BP9+BN9+BL9+BJ9+BH9+BF9+BD9+BB9+AZ9+AX9+AV9+AT9+AR9+AP9+AN9+AL9+AJ9+AH9+AF9+AD9+AB9+Z9+X10+V9+T9+R9+P9+N9+L9+J9+H9+G9</f>
        <v>3</v>
      </c>
    </row>
    <row r="10" customHeight="1" spans="1:70">
      <c r="A10" s="14" t="s">
        <v>20</v>
      </c>
      <c r="B10" s="15" t="s">
        <v>12</v>
      </c>
      <c r="C10" s="16"/>
      <c r="D10" s="21">
        <v>0</v>
      </c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B10" s="20"/>
      <c r="AC10" s="20"/>
      <c r="AD10" s="20"/>
      <c r="AE10" s="19"/>
      <c r="AF10" s="20"/>
      <c r="AG10" s="19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19">
        <f t="shared" si="0"/>
        <v>0</v>
      </c>
      <c r="BP10" s="19">
        <f t="shared" si="1"/>
        <v>0</v>
      </c>
      <c r="BQ10" s="19">
        <f t="shared" si="2"/>
        <v>0</v>
      </c>
      <c r="BR10" s="19">
        <f>C10</f>
        <v>0</v>
      </c>
    </row>
    <row r="11" customHeight="1" spans="1:70">
      <c r="A11" s="24" t="s">
        <v>21</v>
      </c>
      <c r="B11" s="31"/>
      <c r="C11" s="32"/>
      <c r="D11" s="32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  <c r="AB11" s="29"/>
      <c r="AC11" s="29"/>
      <c r="AD11" s="29"/>
      <c r="AE11" s="28"/>
      <c r="AF11" s="29"/>
      <c r="AG11" s="28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8"/>
      <c r="BP11" s="28"/>
      <c r="BQ11" s="28"/>
      <c r="BR11" s="33"/>
    </row>
    <row r="12" customHeight="1" spans="1:70">
      <c r="A12" s="34" t="s">
        <v>22</v>
      </c>
      <c r="B12" s="15" t="s">
        <v>23</v>
      </c>
      <c r="C12" s="16"/>
      <c r="D12" s="21">
        <v>3</v>
      </c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  <c r="AB12" s="20"/>
      <c r="AC12" s="20"/>
      <c r="AD12" s="20"/>
      <c r="AE12" s="19"/>
      <c r="AF12" s="20"/>
      <c r="AG12" s="19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19">
        <f t="shared" si="0"/>
        <v>3</v>
      </c>
      <c r="BP12" s="35">
        <f t="shared" si="1"/>
        <v>0</v>
      </c>
      <c r="BQ12" s="19">
        <f t="shared" si="2"/>
        <v>3</v>
      </c>
      <c r="BR12" s="36">
        <f t="shared" ref="BR12:BR21" si="3">BQ12*C12</f>
        <v>0</v>
      </c>
    </row>
    <row r="13" customHeight="1" spans="1:70">
      <c r="A13" s="34" t="s">
        <v>24</v>
      </c>
      <c r="B13" s="15" t="s">
        <v>23</v>
      </c>
      <c r="C13" s="16"/>
      <c r="D13" s="21">
        <v>6</v>
      </c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  <c r="AB13" s="20"/>
      <c r="AC13" s="20"/>
      <c r="AD13" s="20"/>
      <c r="AE13" s="19"/>
      <c r="AF13" s="20"/>
      <c r="AG13" s="19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19">
        <f t="shared" si="0"/>
        <v>6</v>
      </c>
      <c r="BP13" s="35">
        <f t="shared" si="1"/>
        <v>0</v>
      </c>
      <c r="BQ13" s="19">
        <f t="shared" si="2"/>
        <v>6</v>
      </c>
      <c r="BR13" s="36">
        <f t="shared" si="3"/>
        <v>0</v>
      </c>
    </row>
    <row r="14" customHeight="1" spans="1:70">
      <c r="A14" s="34" t="s">
        <v>25</v>
      </c>
      <c r="B14" s="15" t="s">
        <v>23</v>
      </c>
      <c r="C14" s="16"/>
      <c r="D14" s="21">
        <v>3</v>
      </c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  <c r="AB14" s="20"/>
      <c r="AC14" s="20"/>
      <c r="AD14" s="20"/>
      <c r="AE14" s="19"/>
      <c r="AF14" s="20"/>
      <c r="AG14" s="19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19">
        <f t="shared" si="0"/>
        <v>3</v>
      </c>
      <c r="BP14" s="35">
        <f t="shared" si="1"/>
        <v>0</v>
      </c>
      <c r="BQ14" s="19">
        <f t="shared" si="2"/>
        <v>3</v>
      </c>
      <c r="BR14" s="36">
        <f t="shared" si="3"/>
        <v>0</v>
      </c>
    </row>
    <row r="15" customHeight="1" spans="1:70">
      <c r="A15" s="14" t="s">
        <v>26</v>
      </c>
      <c r="B15" s="15" t="s">
        <v>12</v>
      </c>
      <c r="C15" s="16"/>
      <c r="D15" s="21">
        <v>4</v>
      </c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  <c r="AB15" s="20"/>
      <c r="AC15" s="20"/>
      <c r="AD15" s="20"/>
      <c r="AE15" s="19"/>
      <c r="AF15" s="20"/>
      <c r="AG15" s="19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19">
        <f t="shared" si="0"/>
        <v>4</v>
      </c>
      <c r="BP15" s="35">
        <f t="shared" si="1"/>
        <v>0</v>
      </c>
      <c r="BQ15" s="19">
        <f t="shared" si="2"/>
        <v>4</v>
      </c>
      <c r="BR15" s="36">
        <f t="shared" si="3"/>
        <v>0</v>
      </c>
    </row>
    <row r="16" customHeight="1" spans="1:70">
      <c r="A16" s="14" t="s">
        <v>27</v>
      </c>
      <c r="B16" s="15" t="s">
        <v>12</v>
      </c>
      <c r="C16" s="16"/>
      <c r="D16" s="21">
        <v>3</v>
      </c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B16" s="20"/>
      <c r="AC16" s="20"/>
      <c r="AD16" s="20"/>
      <c r="AE16" s="19"/>
      <c r="AF16" s="20"/>
      <c r="AG16" s="19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19">
        <f t="shared" si="0"/>
        <v>3</v>
      </c>
      <c r="BP16" s="35">
        <f t="shared" si="1"/>
        <v>0</v>
      </c>
      <c r="BQ16" s="19">
        <f t="shared" si="2"/>
        <v>3</v>
      </c>
      <c r="BR16" s="36">
        <f t="shared" si="3"/>
        <v>0</v>
      </c>
    </row>
    <row r="17" customHeight="1" spans="1:70">
      <c r="A17" s="14" t="s">
        <v>28</v>
      </c>
      <c r="B17" s="15" t="s">
        <v>29</v>
      </c>
      <c r="C17" s="16">
        <v>45</v>
      </c>
      <c r="D17" s="21">
        <v>11</v>
      </c>
      <c r="E17" s="18"/>
      <c r="F17" s="19"/>
      <c r="G17" s="19"/>
      <c r="H17" s="19"/>
      <c r="I17" s="19"/>
      <c r="J17" s="19">
        <v>1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B17" s="20"/>
      <c r="AC17" s="20"/>
      <c r="AD17" s="20"/>
      <c r="AE17" s="19"/>
      <c r="AF17" s="20"/>
      <c r="AG17" s="19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19">
        <f t="shared" si="0"/>
        <v>11</v>
      </c>
      <c r="BP17" s="35">
        <f t="shared" si="1"/>
        <v>1</v>
      </c>
      <c r="BQ17" s="19">
        <f t="shared" si="2"/>
        <v>10</v>
      </c>
      <c r="BR17" s="36">
        <f t="shared" si="3"/>
        <v>450</v>
      </c>
    </row>
    <row r="18" customHeight="1" spans="1:70">
      <c r="A18" s="14" t="s">
        <v>30</v>
      </c>
      <c r="B18" s="15" t="s">
        <v>29</v>
      </c>
      <c r="C18" s="16">
        <v>165</v>
      </c>
      <c r="D18" s="21">
        <v>9</v>
      </c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B18" s="20"/>
      <c r="AC18" s="20"/>
      <c r="AD18" s="20"/>
      <c r="AE18" s="19"/>
      <c r="AF18" s="20"/>
      <c r="AG18" s="19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19">
        <f t="shared" si="0"/>
        <v>9</v>
      </c>
      <c r="BP18" s="35">
        <f t="shared" si="1"/>
        <v>0</v>
      </c>
      <c r="BQ18" s="19">
        <f t="shared" si="2"/>
        <v>9</v>
      </c>
      <c r="BR18" s="36">
        <f t="shared" si="3"/>
        <v>1485</v>
      </c>
    </row>
    <row r="19" customHeight="1" spans="1:70">
      <c r="A19" s="34" t="s">
        <v>31</v>
      </c>
      <c r="B19" s="15" t="s">
        <v>29</v>
      </c>
      <c r="C19" s="16">
        <v>224</v>
      </c>
      <c r="D19" s="21">
        <v>50</v>
      </c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B19" s="20"/>
      <c r="AC19" s="20"/>
      <c r="AD19" s="20"/>
      <c r="AE19" s="19"/>
      <c r="AF19" s="20"/>
      <c r="AG19" s="19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19">
        <f t="shared" si="0"/>
        <v>50</v>
      </c>
      <c r="BP19" s="35">
        <f t="shared" si="1"/>
        <v>0</v>
      </c>
      <c r="BQ19" s="19">
        <f t="shared" si="2"/>
        <v>50</v>
      </c>
      <c r="BR19" s="36">
        <f t="shared" si="3"/>
        <v>11200</v>
      </c>
    </row>
    <row r="20" customHeight="1" spans="1:70">
      <c r="A20" s="34" t="s">
        <v>32</v>
      </c>
      <c r="B20" s="15" t="s">
        <v>29</v>
      </c>
      <c r="C20" s="16"/>
      <c r="D20" s="21">
        <v>0</v>
      </c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B20" s="20"/>
      <c r="AC20" s="20"/>
      <c r="AD20" s="20"/>
      <c r="AE20" s="19"/>
      <c r="AF20" s="20"/>
      <c r="AG20" s="19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19">
        <f t="shared" si="0"/>
        <v>0</v>
      </c>
      <c r="BP20" s="35">
        <f t="shared" si="1"/>
        <v>0</v>
      </c>
      <c r="BQ20" s="19">
        <f t="shared" si="2"/>
        <v>0</v>
      </c>
      <c r="BR20" s="36">
        <f t="shared" si="3"/>
        <v>0</v>
      </c>
    </row>
    <row r="21" customHeight="1" spans="1:70">
      <c r="A21" s="34" t="s">
        <v>33</v>
      </c>
      <c r="B21" s="15" t="s">
        <v>12</v>
      </c>
      <c r="C21" s="16">
        <v>820</v>
      </c>
      <c r="D21" s="21">
        <v>3</v>
      </c>
      <c r="E21" s="18"/>
      <c r="F21" s="19"/>
      <c r="G21" s="19"/>
      <c r="H21" s="19"/>
      <c r="I21" s="19"/>
      <c r="J21" s="19"/>
      <c r="K21" s="19"/>
      <c r="L21" s="19">
        <v>1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  <c r="AB21" s="20"/>
      <c r="AC21" s="20"/>
      <c r="AD21" s="20"/>
      <c r="AE21" s="19"/>
      <c r="AF21" s="20"/>
      <c r="AG21" s="19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19">
        <f t="shared" si="0"/>
        <v>3</v>
      </c>
      <c r="BP21" s="35">
        <f t="shared" si="1"/>
        <v>1</v>
      </c>
      <c r="BQ21" s="19">
        <f t="shared" si="2"/>
        <v>2</v>
      </c>
      <c r="BR21" s="36">
        <f t="shared" si="3"/>
        <v>1640</v>
      </c>
    </row>
    <row r="22" customHeight="1" spans="1:70">
      <c r="A22" s="24" t="s">
        <v>34</v>
      </c>
      <c r="B22" s="25"/>
      <c r="C22" s="26"/>
      <c r="D22" s="26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9"/>
      <c r="AC22" s="29"/>
      <c r="AD22" s="29"/>
      <c r="AE22" s="28"/>
      <c r="AF22" s="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8"/>
      <c r="BP22" s="37"/>
      <c r="BQ22" s="28"/>
      <c r="BR22" s="33"/>
    </row>
    <row r="23" customHeight="1" spans="1:70">
      <c r="A23" s="14" t="s">
        <v>35</v>
      </c>
      <c r="B23" s="15" t="s">
        <v>29</v>
      </c>
      <c r="C23" s="16"/>
      <c r="D23" s="21">
        <v>0</v>
      </c>
      <c r="E23" s="18"/>
      <c r="F23" s="19"/>
      <c r="G23" s="19"/>
      <c r="H23" s="19"/>
      <c r="I23" s="19"/>
      <c r="J23" s="19"/>
      <c r="K23" s="19"/>
      <c r="L23" s="19">
        <v>1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  <c r="AB23" s="20"/>
      <c r="AC23" s="20"/>
      <c r="AD23" s="20"/>
      <c r="AE23" s="19"/>
      <c r="AF23" s="20"/>
      <c r="AG23" s="19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19">
        <f t="shared" si="0"/>
        <v>0</v>
      </c>
      <c r="BP23" s="35">
        <f t="shared" si="1"/>
        <v>1</v>
      </c>
      <c r="BQ23" s="19">
        <f t="shared" si="2"/>
        <v>-1</v>
      </c>
      <c r="BR23" s="36">
        <f t="shared" ref="BR23:BR38" si="4">BQ23*C23</f>
        <v>0</v>
      </c>
    </row>
    <row r="24" customHeight="1" spans="1:70">
      <c r="A24" s="14" t="s">
        <v>36</v>
      </c>
      <c r="B24" s="15" t="s">
        <v>17</v>
      </c>
      <c r="C24" s="16"/>
      <c r="D24" s="21">
        <v>6</v>
      </c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  <c r="AB24" s="20"/>
      <c r="AC24" s="20"/>
      <c r="AD24" s="20"/>
      <c r="AE24" s="19"/>
      <c r="AF24" s="20"/>
      <c r="AG24" s="19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19">
        <f t="shared" si="0"/>
        <v>6</v>
      </c>
      <c r="BP24" s="35">
        <f t="shared" si="1"/>
        <v>0</v>
      </c>
      <c r="BQ24" s="19">
        <f t="shared" si="2"/>
        <v>6</v>
      </c>
      <c r="BR24" s="36">
        <f t="shared" si="4"/>
        <v>0</v>
      </c>
    </row>
    <row r="25" customHeight="1" spans="1:70">
      <c r="A25" s="14" t="s">
        <v>37</v>
      </c>
      <c r="B25" s="15" t="s">
        <v>17</v>
      </c>
      <c r="C25" s="16"/>
      <c r="D25" s="21">
        <v>1</v>
      </c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  <c r="AB25" s="20"/>
      <c r="AC25" s="20"/>
      <c r="AD25" s="20"/>
      <c r="AE25" s="19"/>
      <c r="AF25" s="20"/>
      <c r="AG25" s="19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19">
        <f t="shared" si="0"/>
        <v>1</v>
      </c>
      <c r="BP25" s="35">
        <f t="shared" si="1"/>
        <v>0</v>
      </c>
      <c r="BQ25" s="19">
        <f t="shared" si="2"/>
        <v>1</v>
      </c>
      <c r="BR25" s="36">
        <f t="shared" si="4"/>
        <v>0</v>
      </c>
    </row>
    <row r="26" customHeight="1" spans="1:70">
      <c r="A26" s="14" t="s">
        <v>38</v>
      </c>
      <c r="B26" s="15" t="s">
        <v>17</v>
      </c>
      <c r="C26" s="16"/>
      <c r="D26" s="21">
        <v>6</v>
      </c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  <c r="AB26" s="20"/>
      <c r="AC26" s="20"/>
      <c r="AD26" s="20"/>
      <c r="AE26" s="19"/>
      <c r="AF26" s="20"/>
      <c r="AG26" s="19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19">
        <f t="shared" si="0"/>
        <v>6</v>
      </c>
      <c r="BP26" s="35">
        <f t="shared" si="1"/>
        <v>0</v>
      </c>
      <c r="BQ26" s="19">
        <f t="shared" si="2"/>
        <v>6</v>
      </c>
      <c r="BR26" s="36">
        <f t="shared" si="4"/>
        <v>0</v>
      </c>
    </row>
    <row r="27" customHeight="1" spans="1:70">
      <c r="A27" s="14" t="s">
        <v>39</v>
      </c>
      <c r="B27" s="15" t="s">
        <v>17</v>
      </c>
      <c r="C27" s="16"/>
      <c r="D27" s="21">
        <v>3</v>
      </c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0"/>
      <c r="AB27" s="20"/>
      <c r="AC27" s="20"/>
      <c r="AD27" s="20"/>
      <c r="AE27" s="19"/>
      <c r="AF27" s="20"/>
      <c r="AG27" s="19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19">
        <f t="shared" si="0"/>
        <v>3</v>
      </c>
      <c r="BP27" s="35">
        <f t="shared" si="1"/>
        <v>0</v>
      </c>
      <c r="BQ27" s="19">
        <f t="shared" si="2"/>
        <v>3</v>
      </c>
      <c r="BR27" s="36">
        <f t="shared" si="4"/>
        <v>0</v>
      </c>
    </row>
    <row r="28" customHeight="1" spans="1:70">
      <c r="A28" s="14" t="s">
        <v>40</v>
      </c>
      <c r="B28" s="15" t="s">
        <v>17</v>
      </c>
      <c r="C28" s="16"/>
      <c r="D28" s="21">
        <v>10</v>
      </c>
      <c r="E28" s="18"/>
      <c r="F28" s="19"/>
      <c r="G28" s="19"/>
      <c r="H28" s="19"/>
      <c r="I28" s="19"/>
      <c r="J28" s="19"/>
      <c r="K28" s="19"/>
      <c r="L28" s="19">
        <v>1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0"/>
      <c r="AB28" s="20"/>
      <c r="AC28" s="20"/>
      <c r="AD28" s="20"/>
      <c r="AE28" s="19"/>
      <c r="AF28" s="20"/>
      <c r="AG28" s="19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19">
        <f t="shared" si="0"/>
        <v>10</v>
      </c>
      <c r="BP28" s="35">
        <f t="shared" si="1"/>
        <v>1</v>
      </c>
      <c r="BQ28" s="19">
        <f t="shared" si="2"/>
        <v>9</v>
      </c>
      <c r="BR28" s="36">
        <f t="shared" si="4"/>
        <v>0</v>
      </c>
    </row>
    <row r="29" customHeight="1" spans="1:70">
      <c r="A29" s="14" t="s">
        <v>41</v>
      </c>
      <c r="B29" s="15" t="s">
        <v>17</v>
      </c>
      <c r="C29" s="16"/>
      <c r="D29" s="21">
        <v>26</v>
      </c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  <c r="AB29" s="20"/>
      <c r="AC29" s="20"/>
      <c r="AD29" s="20"/>
      <c r="AE29" s="19"/>
      <c r="AF29" s="20"/>
      <c r="AG29" s="19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19">
        <f t="shared" si="0"/>
        <v>26</v>
      </c>
      <c r="BP29" s="35">
        <f t="shared" si="1"/>
        <v>0</v>
      </c>
      <c r="BQ29" s="19">
        <f t="shared" si="2"/>
        <v>26</v>
      </c>
      <c r="BR29" s="36">
        <f t="shared" si="4"/>
        <v>0</v>
      </c>
    </row>
    <row r="30" customHeight="1" spans="1:70">
      <c r="A30" s="14" t="s">
        <v>42</v>
      </c>
      <c r="B30" s="15" t="s">
        <v>17</v>
      </c>
      <c r="C30" s="16"/>
      <c r="D30" s="21">
        <v>28</v>
      </c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  <c r="AB30" s="20"/>
      <c r="AC30" s="20"/>
      <c r="AD30" s="20"/>
      <c r="AE30" s="19"/>
      <c r="AF30" s="20"/>
      <c r="AG30" s="19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19">
        <f t="shared" si="0"/>
        <v>28</v>
      </c>
      <c r="BP30" s="35">
        <f t="shared" si="1"/>
        <v>0</v>
      </c>
      <c r="BQ30" s="19">
        <f t="shared" si="2"/>
        <v>28</v>
      </c>
      <c r="BR30" s="36">
        <f t="shared" si="4"/>
        <v>0</v>
      </c>
    </row>
    <row r="31" customHeight="1" spans="1:70">
      <c r="A31" s="14" t="s">
        <v>43</v>
      </c>
      <c r="B31" s="15" t="s">
        <v>17</v>
      </c>
      <c r="C31" s="16"/>
      <c r="D31" s="21">
        <v>71</v>
      </c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  <c r="AB31" s="20"/>
      <c r="AC31" s="20"/>
      <c r="AD31" s="20"/>
      <c r="AE31" s="19"/>
      <c r="AF31" s="20"/>
      <c r="AG31" s="19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19">
        <f t="shared" si="0"/>
        <v>71</v>
      </c>
      <c r="BP31" s="35">
        <f t="shared" si="1"/>
        <v>0</v>
      </c>
      <c r="BQ31" s="19">
        <f t="shared" si="2"/>
        <v>71</v>
      </c>
      <c r="BR31" s="36">
        <f t="shared" si="4"/>
        <v>0</v>
      </c>
    </row>
    <row r="32" customHeight="1" spans="1:70">
      <c r="A32" s="14" t="s">
        <v>44</v>
      </c>
      <c r="B32" s="15" t="s">
        <v>17</v>
      </c>
      <c r="C32" s="16"/>
      <c r="D32" s="21">
        <v>5</v>
      </c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  <c r="AB32" s="20"/>
      <c r="AC32" s="20"/>
      <c r="AD32" s="20"/>
      <c r="AE32" s="19"/>
      <c r="AF32" s="20"/>
      <c r="AG32" s="19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19">
        <f t="shared" si="0"/>
        <v>5</v>
      </c>
      <c r="BP32" s="35">
        <f t="shared" si="1"/>
        <v>0</v>
      </c>
      <c r="BQ32" s="19">
        <f t="shared" si="2"/>
        <v>5</v>
      </c>
      <c r="BR32" s="36">
        <f t="shared" si="4"/>
        <v>0</v>
      </c>
    </row>
    <row r="33" customHeight="1" spans="1:70">
      <c r="A33" s="14" t="s">
        <v>45</v>
      </c>
      <c r="B33" s="15" t="s">
        <v>17</v>
      </c>
      <c r="C33" s="16"/>
      <c r="D33" s="21">
        <v>5</v>
      </c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0"/>
      <c r="AB33" s="20"/>
      <c r="AC33" s="20"/>
      <c r="AD33" s="20"/>
      <c r="AE33" s="19"/>
      <c r="AF33" s="20"/>
      <c r="AG33" s="19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19">
        <f t="shared" si="0"/>
        <v>5</v>
      </c>
      <c r="BP33" s="35">
        <f t="shared" si="1"/>
        <v>0</v>
      </c>
      <c r="BQ33" s="19">
        <f t="shared" si="2"/>
        <v>5</v>
      </c>
      <c r="BR33" s="36">
        <f t="shared" si="4"/>
        <v>0</v>
      </c>
    </row>
    <row r="34" customHeight="1" spans="1:70">
      <c r="A34" s="14" t="s">
        <v>46</v>
      </c>
      <c r="B34" s="15" t="s">
        <v>17</v>
      </c>
      <c r="C34" s="16">
        <v>33</v>
      </c>
      <c r="D34" s="21">
        <v>2</v>
      </c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  <c r="AB34" s="20"/>
      <c r="AC34" s="20"/>
      <c r="AD34" s="20"/>
      <c r="AE34" s="19"/>
      <c r="AF34" s="20"/>
      <c r="AG34" s="19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19">
        <f t="shared" si="0"/>
        <v>2</v>
      </c>
      <c r="BP34" s="35">
        <f t="shared" si="1"/>
        <v>0</v>
      </c>
      <c r="BQ34" s="19">
        <f t="shared" si="2"/>
        <v>2</v>
      </c>
      <c r="BR34" s="36">
        <f t="shared" si="4"/>
        <v>66</v>
      </c>
    </row>
    <row r="35" customHeight="1" spans="1:70">
      <c r="A35" s="14" t="s">
        <v>47</v>
      </c>
      <c r="B35" s="15" t="s">
        <v>17</v>
      </c>
      <c r="C35" s="16"/>
      <c r="D35" s="21">
        <v>5</v>
      </c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0"/>
      <c r="AB35" s="20"/>
      <c r="AC35" s="20"/>
      <c r="AD35" s="20"/>
      <c r="AE35" s="19"/>
      <c r="AF35" s="20"/>
      <c r="AG35" s="19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19">
        <f t="shared" si="0"/>
        <v>5</v>
      </c>
      <c r="BP35" s="35">
        <f t="shared" si="1"/>
        <v>0</v>
      </c>
      <c r="BQ35" s="19">
        <f t="shared" si="2"/>
        <v>5</v>
      </c>
      <c r="BR35" s="36">
        <f t="shared" si="4"/>
        <v>0</v>
      </c>
    </row>
    <row r="36" customHeight="1" spans="1:70">
      <c r="A36" s="14" t="s">
        <v>48</v>
      </c>
      <c r="B36" s="15" t="s">
        <v>17</v>
      </c>
      <c r="C36" s="16"/>
      <c r="D36" s="21">
        <v>1</v>
      </c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0"/>
      <c r="AB36" s="20"/>
      <c r="AC36" s="20"/>
      <c r="AD36" s="20"/>
      <c r="AE36" s="19"/>
      <c r="AF36" s="20"/>
      <c r="AG36" s="19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19">
        <f t="shared" si="0"/>
        <v>1</v>
      </c>
      <c r="BP36" s="35">
        <f t="shared" si="1"/>
        <v>0</v>
      </c>
      <c r="BQ36" s="19">
        <f t="shared" si="2"/>
        <v>1</v>
      </c>
      <c r="BR36" s="36">
        <f t="shared" si="4"/>
        <v>0</v>
      </c>
    </row>
    <row r="37" customHeight="1" spans="1:70">
      <c r="A37" s="14" t="s">
        <v>49</v>
      </c>
      <c r="B37" s="15" t="s">
        <v>17</v>
      </c>
      <c r="C37" s="16"/>
      <c r="D37" s="21">
        <v>1</v>
      </c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/>
      <c r="AB37" s="20"/>
      <c r="AC37" s="20"/>
      <c r="AD37" s="20"/>
      <c r="AE37" s="19"/>
      <c r="AF37" s="20"/>
      <c r="AG37" s="19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19">
        <f t="shared" si="0"/>
        <v>1</v>
      </c>
      <c r="BP37" s="35">
        <f t="shared" si="1"/>
        <v>0</v>
      </c>
      <c r="BQ37" s="19">
        <f t="shared" si="2"/>
        <v>1</v>
      </c>
      <c r="BR37" s="36">
        <f t="shared" si="4"/>
        <v>0</v>
      </c>
    </row>
    <row r="38" customHeight="1" spans="1:70">
      <c r="A38" s="14" t="s">
        <v>50</v>
      </c>
      <c r="B38" s="15" t="s">
        <v>51</v>
      </c>
      <c r="C38" s="16">
        <v>175</v>
      </c>
      <c r="D38" s="21">
        <v>2</v>
      </c>
      <c r="E38" s="18"/>
      <c r="F38" s="19">
        <v>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0"/>
      <c r="AB38" s="20"/>
      <c r="AC38" s="20"/>
      <c r="AD38" s="20"/>
      <c r="AE38" s="19"/>
      <c r="AF38" s="20"/>
      <c r="AG38" s="19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19">
        <f t="shared" si="0"/>
        <v>2</v>
      </c>
      <c r="BP38" s="35">
        <f t="shared" si="1"/>
        <v>1</v>
      </c>
      <c r="BQ38" s="19">
        <f t="shared" si="2"/>
        <v>1</v>
      </c>
      <c r="BR38" s="36">
        <f t="shared" si="4"/>
        <v>175</v>
      </c>
    </row>
    <row r="39" customHeight="1" spans="1:70">
      <c r="A39" s="24" t="s">
        <v>52</v>
      </c>
      <c r="B39" s="25"/>
      <c r="C39" s="26"/>
      <c r="D39" s="26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9"/>
      <c r="AB39" s="29"/>
      <c r="AC39" s="29"/>
      <c r="AD39" s="29"/>
      <c r="AE39" s="28"/>
      <c r="AF39" s="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8">
        <f t="shared" si="0"/>
        <v>0</v>
      </c>
      <c r="BP39" s="37">
        <f t="shared" si="1"/>
        <v>0</v>
      </c>
      <c r="BQ39" s="28">
        <f t="shared" si="2"/>
        <v>0</v>
      </c>
      <c r="BR39" s="33"/>
    </row>
    <row r="40" customHeight="1" spans="1:70">
      <c r="A40" s="14" t="s">
        <v>53</v>
      </c>
      <c r="B40" s="38" t="s">
        <v>17</v>
      </c>
      <c r="C40" s="39"/>
      <c r="D40" s="21">
        <v>3</v>
      </c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0"/>
      <c r="AB40" s="20"/>
      <c r="AC40" s="20"/>
      <c r="AD40" s="20"/>
      <c r="AE40" s="19"/>
      <c r="AF40" s="20"/>
      <c r="AG40" s="19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19">
        <f t="shared" si="0"/>
        <v>3</v>
      </c>
      <c r="BP40" s="35">
        <f t="shared" si="1"/>
        <v>0</v>
      </c>
      <c r="BQ40" s="19">
        <f t="shared" si="2"/>
        <v>3</v>
      </c>
      <c r="BR40" s="36">
        <f t="shared" ref="BR40:BR79" si="5">BQ40*C40</f>
        <v>0</v>
      </c>
    </row>
    <row r="41" customHeight="1" spans="1:70">
      <c r="A41" s="14" t="s">
        <v>54</v>
      </c>
      <c r="B41" s="38" t="s">
        <v>17</v>
      </c>
      <c r="C41" s="16"/>
      <c r="D41" s="21">
        <v>3</v>
      </c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0"/>
      <c r="AB41" s="20"/>
      <c r="AC41" s="20"/>
      <c r="AD41" s="20"/>
      <c r="AE41" s="19"/>
      <c r="AF41" s="20"/>
      <c r="AG41" s="19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19">
        <f t="shared" si="0"/>
        <v>3</v>
      </c>
      <c r="BP41" s="35">
        <f t="shared" si="1"/>
        <v>0</v>
      </c>
      <c r="BQ41" s="19">
        <f t="shared" si="2"/>
        <v>3</v>
      </c>
      <c r="BR41" s="36">
        <f t="shared" si="5"/>
        <v>0</v>
      </c>
    </row>
    <row r="42" customHeight="1" spans="1:70">
      <c r="A42" s="14" t="s">
        <v>55</v>
      </c>
      <c r="B42" s="38" t="s">
        <v>17</v>
      </c>
      <c r="C42" s="16"/>
      <c r="D42" s="21">
        <v>5</v>
      </c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0"/>
      <c r="AB42" s="20"/>
      <c r="AC42" s="20"/>
      <c r="AD42" s="20"/>
      <c r="AE42" s="19"/>
      <c r="AF42" s="20"/>
      <c r="AG42" s="19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19">
        <f t="shared" si="0"/>
        <v>5</v>
      </c>
      <c r="BP42" s="35">
        <f t="shared" si="1"/>
        <v>0</v>
      </c>
      <c r="BQ42" s="19">
        <f t="shared" si="2"/>
        <v>5</v>
      </c>
      <c r="BR42" s="36">
        <f t="shared" si="5"/>
        <v>0</v>
      </c>
    </row>
    <row r="43" customHeight="1" spans="1:70">
      <c r="A43" s="14" t="s">
        <v>56</v>
      </c>
      <c r="B43" s="38" t="s">
        <v>17</v>
      </c>
      <c r="C43" s="16"/>
      <c r="D43" s="21">
        <v>2</v>
      </c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0"/>
      <c r="AB43" s="20"/>
      <c r="AC43" s="20"/>
      <c r="AD43" s="20"/>
      <c r="AE43" s="19"/>
      <c r="AF43" s="20"/>
      <c r="AG43" s="19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19">
        <f t="shared" si="0"/>
        <v>2</v>
      </c>
      <c r="BP43" s="35">
        <f t="shared" si="1"/>
        <v>0</v>
      </c>
      <c r="BQ43" s="19">
        <f t="shared" si="2"/>
        <v>2</v>
      </c>
      <c r="BR43" s="36">
        <f t="shared" si="5"/>
        <v>0</v>
      </c>
    </row>
    <row r="44" customHeight="1" spans="1:70">
      <c r="A44" s="14" t="s">
        <v>57</v>
      </c>
      <c r="B44" s="38" t="s">
        <v>17</v>
      </c>
      <c r="C44" s="16"/>
      <c r="D44" s="21">
        <v>3</v>
      </c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0"/>
      <c r="AB44" s="20"/>
      <c r="AC44" s="20"/>
      <c r="AD44" s="20"/>
      <c r="AE44" s="19"/>
      <c r="AF44" s="20"/>
      <c r="AG44" s="19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19">
        <f t="shared" si="0"/>
        <v>3</v>
      </c>
      <c r="BP44" s="35">
        <f t="shared" si="1"/>
        <v>0</v>
      </c>
      <c r="BQ44" s="19">
        <f t="shared" si="2"/>
        <v>3</v>
      </c>
      <c r="BR44" s="36">
        <f t="shared" si="5"/>
        <v>0</v>
      </c>
    </row>
    <row r="45" customHeight="1" spans="1:70">
      <c r="A45" s="14" t="s">
        <v>58</v>
      </c>
      <c r="B45" s="38" t="s">
        <v>17</v>
      </c>
      <c r="C45" s="16"/>
      <c r="D45" s="21">
        <v>1</v>
      </c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0"/>
      <c r="AB45" s="20"/>
      <c r="AC45" s="20"/>
      <c r="AD45" s="20"/>
      <c r="AE45" s="19"/>
      <c r="AF45" s="20"/>
      <c r="AG45" s="19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19">
        <f t="shared" si="0"/>
        <v>1</v>
      </c>
      <c r="BP45" s="35">
        <f t="shared" si="1"/>
        <v>0</v>
      </c>
      <c r="BQ45" s="19">
        <f t="shared" si="2"/>
        <v>1</v>
      </c>
      <c r="BR45" s="36">
        <f t="shared" si="5"/>
        <v>0</v>
      </c>
    </row>
    <row r="46" customHeight="1" spans="1:70">
      <c r="A46" s="14" t="s">
        <v>59</v>
      </c>
      <c r="B46" s="38" t="s">
        <v>17</v>
      </c>
      <c r="C46" s="16"/>
      <c r="D46" s="21">
        <v>9</v>
      </c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0"/>
      <c r="AB46" s="20"/>
      <c r="AC46" s="20"/>
      <c r="AD46" s="20"/>
      <c r="AE46" s="19"/>
      <c r="AF46" s="20"/>
      <c r="AG46" s="19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19">
        <f t="shared" si="0"/>
        <v>9</v>
      </c>
      <c r="BP46" s="35">
        <f t="shared" si="1"/>
        <v>0</v>
      </c>
      <c r="BQ46" s="19">
        <f t="shared" si="2"/>
        <v>9</v>
      </c>
      <c r="BR46" s="36">
        <f t="shared" si="5"/>
        <v>0</v>
      </c>
    </row>
    <row r="47" customHeight="1" spans="1:70">
      <c r="A47" s="14" t="s">
        <v>60</v>
      </c>
      <c r="B47" s="38" t="s">
        <v>17</v>
      </c>
      <c r="C47" s="16"/>
      <c r="D47" s="21">
        <v>2</v>
      </c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0"/>
      <c r="AB47" s="20"/>
      <c r="AC47" s="20"/>
      <c r="AD47" s="20"/>
      <c r="AE47" s="19"/>
      <c r="AF47" s="20"/>
      <c r="AG47" s="19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19">
        <f t="shared" si="0"/>
        <v>2</v>
      </c>
      <c r="BP47" s="35">
        <f t="shared" si="1"/>
        <v>0</v>
      </c>
      <c r="BQ47" s="19">
        <f t="shared" si="2"/>
        <v>2</v>
      </c>
      <c r="BR47" s="36">
        <f t="shared" si="5"/>
        <v>0</v>
      </c>
    </row>
    <row r="48" customHeight="1" spans="1:70">
      <c r="A48" s="14" t="s">
        <v>61</v>
      </c>
      <c r="B48" s="38" t="s">
        <v>17</v>
      </c>
      <c r="C48" s="16"/>
      <c r="D48" s="21">
        <v>0</v>
      </c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0"/>
      <c r="AB48" s="20"/>
      <c r="AC48" s="20"/>
      <c r="AD48" s="20"/>
      <c r="AE48" s="19"/>
      <c r="AF48" s="20"/>
      <c r="AG48" s="19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19">
        <f t="shared" si="0"/>
        <v>0</v>
      </c>
      <c r="BP48" s="35">
        <f t="shared" si="1"/>
        <v>0</v>
      </c>
      <c r="BQ48" s="19">
        <f t="shared" si="2"/>
        <v>0</v>
      </c>
      <c r="BR48" s="36">
        <f t="shared" si="5"/>
        <v>0</v>
      </c>
    </row>
    <row r="49" customHeight="1" spans="1:70">
      <c r="A49" s="14" t="s">
        <v>62</v>
      </c>
      <c r="B49" s="38" t="s">
        <v>17</v>
      </c>
      <c r="C49" s="16"/>
      <c r="D49" s="21">
        <v>2</v>
      </c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0"/>
      <c r="AB49" s="20"/>
      <c r="AC49" s="20"/>
      <c r="AD49" s="20"/>
      <c r="AE49" s="19"/>
      <c r="AF49" s="20"/>
      <c r="AG49" s="19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19">
        <f t="shared" si="0"/>
        <v>2</v>
      </c>
      <c r="BP49" s="35">
        <f t="shared" si="1"/>
        <v>0</v>
      </c>
      <c r="BQ49" s="19">
        <f t="shared" si="2"/>
        <v>2</v>
      </c>
      <c r="BR49" s="36">
        <f t="shared" si="5"/>
        <v>0</v>
      </c>
    </row>
    <row r="50" customHeight="1" spans="1:70">
      <c r="A50" s="14" t="s">
        <v>63</v>
      </c>
      <c r="B50" s="38" t="s">
        <v>17</v>
      </c>
      <c r="C50" s="16"/>
      <c r="D50" s="21">
        <v>3</v>
      </c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0"/>
      <c r="AB50" s="20"/>
      <c r="AC50" s="20"/>
      <c r="AD50" s="20"/>
      <c r="AE50" s="19"/>
      <c r="AF50" s="20"/>
      <c r="AG50" s="19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19">
        <f t="shared" si="0"/>
        <v>3</v>
      </c>
      <c r="BP50" s="35">
        <f t="shared" si="1"/>
        <v>0</v>
      </c>
      <c r="BQ50" s="19">
        <f t="shared" si="2"/>
        <v>3</v>
      </c>
      <c r="BR50" s="36">
        <f t="shared" si="5"/>
        <v>0</v>
      </c>
    </row>
    <row r="51" customHeight="1" spans="1:70">
      <c r="A51" s="14" t="s">
        <v>64</v>
      </c>
      <c r="B51" s="15" t="s">
        <v>17</v>
      </c>
      <c r="C51" s="16"/>
      <c r="D51" s="21">
        <v>1</v>
      </c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0"/>
      <c r="AB51" s="20"/>
      <c r="AC51" s="20"/>
      <c r="AD51" s="20"/>
      <c r="AE51" s="19"/>
      <c r="AF51" s="20"/>
      <c r="AG51" s="19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19">
        <f t="shared" si="0"/>
        <v>1</v>
      </c>
      <c r="BP51" s="35">
        <f t="shared" si="1"/>
        <v>0</v>
      </c>
      <c r="BQ51" s="19">
        <f t="shared" si="2"/>
        <v>1</v>
      </c>
      <c r="BR51" s="36">
        <f t="shared" si="5"/>
        <v>0</v>
      </c>
    </row>
    <row r="52" customHeight="1" spans="1:70">
      <c r="A52" s="14" t="s">
        <v>65</v>
      </c>
      <c r="B52" s="15" t="s">
        <v>17</v>
      </c>
      <c r="C52" s="16"/>
      <c r="D52" s="21">
        <v>1</v>
      </c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0"/>
      <c r="AB52" s="20"/>
      <c r="AC52" s="20"/>
      <c r="AD52" s="20"/>
      <c r="AE52" s="19"/>
      <c r="AF52" s="20"/>
      <c r="AG52" s="19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19">
        <f t="shared" si="0"/>
        <v>1</v>
      </c>
      <c r="BP52" s="35">
        <f t="shared" si="1"/>
        <v>0</v>
      </c>
      <c r="BQ52" s="19">
        <f t="shared" si="2"/>
        <v>1</v>
      </c>
      <c r="BR52" s="36">
        <f t="shared" si="5"/>
        <v>0</v>
      </c>
    </row>
    <row r="53" customHeight="1" spans="1:70">
      <c r="A53" s="14" t="s">
        <v>66</v>
      </c>
      <c r="B53" s="15" t="s">
        <v>17</v>
      </c>
      <c r="C53" s="16"/>
      <c r="D53" s="21">
        <v>1</v>
      </c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0"/>
      <c r="AB53" s="20"/>
      <c r="AC53" s="20"/>
      <c r="AD53" s="20"/>
      <c r="AE53" s="19"/>
      <c r="AF53" s="20"/>
      <c r="AG53" s="19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19">
        <f t="shared" si="0"/>
        <v>1</v>
      </c>
      <c r="BP53" s="35">
        <f t="shared" si="1"/>
        <v>0</v>
      </c>
      <c r="BQ53" s="19">
        <f t="shared" si="2"/>
        <v>1</v>
      </c>
      <c r="BR53" s="36">
        <f t="shared" si="5"/>
        <v>0</v>
      </c>
    </row>
    <row r="54" customHeight="1" spans="1:70">
      <c r="A54" s="14" t="s">
        <v>67</v>
      </c>
      <c r="B54" s="15" t="s">
        <v>17</v>
      </c>
      <c r="C54" s="16"/>
      <c r="D54" s="21">
        <v>1</v>
      </c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0"/>
      <c r="AB54" s="20"/>
      <c r="AC54" s="20"/>
      <c r="AD54" s="20"/>
      <c r="AE54" s="19"/>
      <c r="AF54" s="20"/>
      <c r="AG54" s="19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19">
        <f t="shared" si="0"/>
        <v>1</v>
      </c>
      <c r="BP54" s="35">
        <f t="shared" si="1"/>
        <v>0</v>
      </c>
      <c r="BQ54" s="19">
        <f t="shared" si="2"/>
        <v>1</v>
      </c>
      <c r="BR54" s="36">
        <f t="shared" si="5"/>
        <v>0</v>
      </c>
    </row>
    <row r="55" customHeight="1" spans="1:70">
      <c r="A55" s="14" t="s">
        <v>68</v>
      </c>
      <c r="B55" s="15" t="s">
        <v>17</v>
      </c>
      <c r="C55" s="16"/>
      <c r="D55" s="21">
        <v>2</v>
      </c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0"/>
      <c r="AB55" s="20"/>
      <c r="AC55" s="20"/>
      <c r="AD55" s="20"/>
      <c r="AE55" s="19"/>
      <c r="AF55" s="20"/>
      <c r="AG55" s="19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19">
        <f t="shared" si="0"/>
        <v>2</v>
      </c>
      <c r="BP55" s="35">
        <f t="shared" si="1"/>
        <v>0</v>
      </c>
      <c r="BQ55" s="19">
        <f t="shared" si="2"/>
        <v>2</v>
      </c>
      <c r="BR55" s="36">
        <f t="shared" si="5"/>
        <v>0</v>
      </c>
    </row>
    <row r="56" customHeight="1" spans="1:70">
      <c r="A56" s="14" t="s">
        <v>69</v>
      </c>
      <c r="B56" s="15" t="s">
        <v>29</v>
      </c>
      <c r="C56" s="16"/>
      <c r="D56" s="21">
        <v>3</v>
      </c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0"/>
      <c r="AB56" s="20"/>
      <c r="AC56" s="20"/>
      <c r="AD56" s="20"/>
      <c r="AE56" s="19"/>
      <c r="AF56" s="20"/>
      <c r="AG56" s="19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19">
        <f t="shared" si="0"/>
        <v>3</v>
      </c>
      <c r="BP56" s="35">
        <f t="shared" si="1"/>
        <v>0</v>
      </c>
      <c r="BQ56" s="19">
        <f t="shared" si="2"/>
        <v>3</v>
      </c>
      <c r="BR56" s="36">
        <f t="shared" si="5"/>
        <v>0</v>
      </c>
    </row>
    <row r="57" customHeight="1" spans="1:70">
      <c r="A57" s="14" t="s">
        <v>70</v>
      </c>
      <c r="B57" s="15" t="s">
        <v>17</v>
      </c>
      <c r="C57" s="16"/>
      <c r="D57" s="21">
        <v>2</v>
      </c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0"/>
      <c r="AB57" s="20"/>
      <c r="AC57" s="20"/>
      <c r="AD57" s="20"/>
      <c r="AE57" s="19"/>
      <c r="AF57" s="20"/>
      <c r="AG57" s="19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19">
        <f t="shared" si="0"/>
        <v>2</v>
      </c>
      <c r="BP57" s="35">
        <f t="shared" si="1"/>
        <v>0</v>
      </c>
      <c r="BQ57" s="19">
        <f t="shared" si="2"/>
        <v>2</v>
      </c>
      <c r="BR57" s="36">
        <f t="shared" si="5"/>
        <v>0</v>
      </c>
    </row>
    <row r="58" customHeight="1" spans="1:70">
      <c r="A58" s="14" t="s">
        <v>71</v>
      </c>
      <c r="B58" s="15" t="s">
        <v>17</v>
      </c>
      <c r="C58" s="16"/>
      <c r="D58" s="21">
        <v>0</v>
      </c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0"/>
      <c r="AB58" s="20"/>
      <c r="AC58" s="20"/>
      <c r="AD58" s="20"/>
      <c r="AE58" s="19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19">
        <f t="shared" si="0"/>
        <v>0</v>
      </c>
      <c r="BP58" s="35">
        <f t="shared" si="1"/>
        <v>0</v>
      </c>
      <c r="BQ58" s="19">
        <f t="shared" si="2"/>
        <v>0</v>
      </c>
      <c r="BR58" s="36">
        <f t="shared" si="5"/>
        <v>0</v>
      </c>
    </row>
    <row r="59" customHeight="1" spans="1:70">
      <c r="A59" s="14" t="s">
        <v>72</v>
      </c>
      <c r="B59" s="15" t="s">
        <v>17</v>
      </c>
      <c r="C59" s="16"/>
      <c r="D59" s="21">
        <v>0</v>
      </c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0"/>
      <c r="AB59" s="20"/>
      <c r="AC59" s="20"/>
      <c r="AD59" s="20"/>
      <c r="AE59" s="19"/>
      <c r="AF59" s="20"/>
      <c r="AG59" s="19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19">
        <f t="shared" si="0"/>
        <v>0</v>
      </c>
      <c r="BP59" s="35">
        <f t="shared" si="1"/>
        <v>0</v>
      </c>
      <c r="BQ59" s="19">
        <f t="shared" si="2"/>
        <v>0</v>
      </c>
      <c r="BR59" s="36">
        <f t="shared" si="5"/>
        <v>0</v>
      </c>
    </row>
    <row r="60" customHeight="1" spans="1:70">
      <c r="A60" s="14" t="s">
        <v>73</v>
      </c>
      <c r="B60" s="15" t="s">
        <v>17</v>
      </c>
      <c r="C60" s="16"/>
      <c r="D60" s="21">
        <v>0</v>
      </c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20"/>
      <c r="AC60" s="20"/>
      <c r="AD60" s="20"/>
      <c r="AE60" s="19"/>
      <c r="AF60" s="20"/>
      <c r="AG60" s="19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19">
        <f t="shared" si="0"/>
        <v>0</v>
      </c>
      <c r="BP60" s="35">
        <f t="shared" si="1"/>
        <v>0</v>
      </c>
      <c r="BQ60" s="19">
        <f t="shared" si="2"/>
        <v>0</v>
      </c>
      <c r="BR60" s="36">
        <f t="shared" si="5"/>
        <v>0</v>
      </c>
    </row>
    <row r="61" customHeight="1" spans="1:70">
      <c r="A61" s="14" t="s">
        <v>74</v>
      </c>
      <c r="B61" s="15" t="s">
        <v>17</v>
      </c>
      <c r="C61" s="16"/>
      <c r="D61" s="21">
        <v>0</v>
      </c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0"/>
      <c r="AB61" s="20"/>
      <c r="AC61" s="20"/>
      <c r="AD61" s="20"/>
      <c r="AE61" s="19"/>
      <c r="AF61" s="20"/>
      <c r="AG61" s="19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19">
        <f t="shared" si="0"/>
        <v>0</v>
      </c>
      <c r="BP61" s="35">
        <f t="shared" si="1"/>
        <v>0</v>
      </c>
      <c r="BQ61" s="19">
        <f t="shared" si="2"/>
        <v>0</v>
      </c>
      <c r="BR61" s="36">
        <f t="shared" si="5"/>
        <v>0</v>
      </c>
    </row>
    <row r="62" customHeight="1" spans="1:70">
      <c r="A62" s="14" t="s">
        <v>75</v>
      </c>
      <c r="B62" s="15" t="s">
        <v>17</v>
      </c>
      <c r="C62" s="16"/>
      <c r="D62" s="21">
        <v>0</v>
      </c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0"/>
      <c r="AB62" s="20"/>
      <c r="AC62" s="20"/>
      <c r="AD62" s="20"/>
      <c r="AE62" s="19"/>
      <c r="AF62" s="20"/>
      <c r="AG62" s="19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19">
        <f t="shared" si="0"/>
        <v>0</v>
      </c>
      <c r="BP62" s="35">
        <f t="shared" si="1"/>
        <v>0</v>
      </c>
      <c r="BQ62" s="19">
        <f t="shared" si="2"/>
        <v>0</v>
      </c>
      <c r="BR62" s="36">
        <f t="shared" si="5"/>
        <v>0</v>
      </c>
    </row>
    <row r="63" customHeight="1" spans="1:70">
      <c r="A63" s="14" t="s">
        <v>76</v>
      </c>
      <c r="B63" s="15" t="s">
        <v>17</v>
      </c>
      <c r="C63" s="16"/>
      <c r="D63" s="21">
        <v>7</v>
      </c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0"/>
      <c r="AB63" s="20"/>
      <c r="AC63" s="20"/>
      <c r="AD63" s="20"/>
      <c r="AE63" s="19"/>
      <c r="AF63" s="20"/>
      <c r="AG63" s="19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19">
        <f t="shared" si="0"/>
        <v>7</v>
      </c>
      <c r="BP63" s="35">
        <f t="shared" si="1"/>
        <v>0</v>
      </c>
      <c r="BQ63" s="19">
        <f t="shared" si="2"/>
        <v>7</v>
      </c>
      <c r="BR63" s="36">
        <f t="shared" si="5"/>
        <v>0</v>
      </c>
    </row>
    <row r="64" customHeight="1" spans="1:70">
      <c r="A64" s="14" t="s">
        <v>77</v>
      </c>
      <c r="B64" s="15" t="s">
        <v>17</v>
      </c>
      <c r="C64" s="16"/>
      <c r="D64" s="21">
        <v>0</v>
      </c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0"/>
      <c r="AB64" s="20"/>
      <c r="AC64" s="20"/>
      <c r="AD64" s="20"/>
      <c r="AE64" s="19"/>
      <c r="AF64" s="20"/>
      <c r="AG64" s="19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19">
        <f t="shared" si="0"/>
        <v>0</v>
      </c>
      <c r="BP64" s="35">
        <f t="shared" si="1"/>
        <v>0</v>
      </c>
      <c r="BQ64" s="19">
        <f t="shared" si="2"/>
        <v>0</v>
      </c>
      <c r="BR64" s="36">
        <f t="shared" si="5"/>
        <v>0</v>
      </c>
    </row>
    <row r="65" customHeight="1" spans="1:70">
      <c r="A65" s="14" t="s">
        <v>78</v>
      </c>
      <c r="B65" s="15" t="s">
        <v>17</v>
      </c>
      <c r="C65" s="16"/>
      <c r="D65" s="21">
        <v>0</v>
      </c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0"/>
      <c r="AB65" s="20"/>
      <c r="AC65" s="20"/>
      <c r="AD65" s="20"/>
      <c r="AE65" s="19"/>
      <c r="AF65" s="20"/>
      <c r="AG65" s="19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19">
        <f t="shared" si="0"/>
        <v>0</v>
      </c>
      <c r="BP65" s="35">
        <f t="shared" si="1"/>
        <v>0</v>
      </c>
      <c r="BQ65" s="19">
        <f t="shared" si="2"/>
        <v>0</v>
      </c>
      <c r="BR65" s="36">
        <f t="shared" si="5"/>
        <v>0</v>
      </c>
    </row>
    <row r="66" customHeight="1" spans="1:70">
      <c r="A66" s="14" t="s">
        <v>79</v>
      </c>
      <c r="B66" s="15" t="s">
        <v>17</v>
      </c>
      <c r="C66" s="16"/>
      <c r="D66" s="21">
        <v>1</v>
      </c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0"/>
      <c r="AB66" s="20"/>
      <c r="AC66" s="20"/>
      <c r="AD66" s="20"/>
      <c r="AE66" s="19"/>
      <c r="AF66" s="20"/>
      <c r="AG66" s="19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19">
        <f t="shared" si="0"/>
        <v>1</v>
      </c>
      <c r="BP66" s="35">
        <f t="shared" si="1"/>
        <v>0</v>
      </c>
      <c r="BQ66" s="19">
        <f t="shared" si="2"/>
        <v>1</v>
      </c>
      <c r="BR66" s="36">
        <f t="shared" si="5"/>
        <v>0</v>
      </c>
    </row>
    <row r="67" customHeight="1" spans="1:70">
      <c r="A67" s="14" t="s">
        <v>80</v>
      </c>
      <c r="B67" s="15" t="s">
        <v>17</v>
      </c>
      <c r="C67" s="16"/>
      <c r="D67" s="21">
        <v>0</v>
      </c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0"/>
      <c r="AB67" s="20"/>
      <c r="AC67" s="20"/>
      <c r="AD67" s="20"/>
      <c r="AE67" s="19"/>
      <c r="AF67" s="20"/>
      <c r="AG67" s="19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19">
        <f t="shared" si="0"/>
        <v>0</v>
      </c>
      <c r="BP67" s="35">
        <f t="shared" si="1"/>
        <v>0</v>
      </c>
      <c r="BQ67" s="19">
        <f t="shared" si="2"/>
        <v>0</v>
      </c>
      <c r="BR67" s="36">
        <f t="shared" si="5"/>
        <v>0</v>
      </c>
    </row>
    <row r="68" customHeight="1" spans="1:70">
      <c r="A68" s="14" t="s">
        <v>81</v>
      </c>
      <c r="B68" s="15" t="s">
        <v>17</v>
      </c>
      <c r="C68" s="16"/>
      <c r="D68" s="21">
        <v>0</v>
      </c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0"/>
      <c r="AB68" s="20"/>
      <c r="AC68" s="20"/>
      <c r="AD68" s="20"/>
      <c r="AE68" s="19"/>
      <c r="AF68" s="20"/>
      <c r="AG68" s="19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19">
        <f t="shared" si="0"/>
        <v>0</v>
      </c>
      <c r="BP68" s="35">
        <f t="shared" si="1"/>
        <v>0</v>
      </c>
      <c r="BQ68" s="19">
        <f t="shared" si="2"/>
        <v>0</v>
      </c>
      <c r="BR68" s="36">
        <f t="shared" si="5"/>
        <v>0</v>
      </c>
    </row>
    <row r="69" customHeight="1" spans="1:70">
      <c r="A69" s="14" t="s">
        <v>82</v>
      </c>
      <c r="B69" s="15" t="s">
        <v>17</v>
      </c>
      <c r="C69" s="16"/>
      <c r="D69" s="21">
        <v>0</v>
      </c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0"/>
      <c r="AB69" s="20"/>
      <c r="AC69" s="20"/>
      <c r="AD69" s="20"/>
      <c r="AE69" s="19"/>
      <c r="AF69" s="20"/>
      <c r="AG69" s="19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19">
        <f t="shared" si="0"/>
        <v>0</v>
      </c>
      <c r="BP69" s="35">
        <f t="shared" si="1"/>
        <v>0</v>
      </c>
      <c r="BQ69" s="19">
        <f t="shared" si="2"/>
        <v>0</v>
      </c>
      <c r="BR69" s="36">
        <f t="shared" si="5"/>
        <v>0</v>
      </c>
    </row>
    <row r="70" customHeight="1" spans="1:70">
      <c r="A70" s="40" t="s">
        <v>83</v>
      </c>
      <c r="B70" s="41"/>
      <c r="C70" s="42"/>
      <c r="D70" s="42"/>
      <c r="E70" s="43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44"/>
      <c r="AB70" s="44"/>
      <c r="AC70" s="44"/>
      <c r="AD70" s="44"/>
      <c r="AE70" s="30"/>
      <c r="AF70" s="44"/>
      <c r="AG70" s="30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30">
        <f t="shared" ref="BO70:BO120" si="6">SUM(D70,E70,G70,I70,K70,M70,O70,Q70,S70,U70,Y70,AA70,AC70,AE70,AG70,AI70,AK70,AM70,AO70,AQ70,AS70,AU70,AW70,AY70,BA70,BC70,BE70,BG70,BI70,BK70,BM70)</f>
        <v>0</v>
      </c>
      <c r="BP70" s="30">
        <f t="shared" ref="BP70:BP120" si="7">SUM(F70,H70,J70,L70,N70,P70,R70,T70,V70,X70,Z70,AB70,AD70,AF70,AH70,AJ70,AL70,AN70,AP70,AR70,AT70,AV70,AX70,AZ70,BB70,BD70,BF70,BH70,BJ70,BL70,BN70)</f>
        <v>0</v>
      </c>
      <c r="BQ70" s="30">
        <f t="shared" ref="BQ70:BQ120" si="8">BO70-BP70</f>
        <v>0</v>
      </c>
      <c r="BR70" s="45"/>
    </row>
    <row r="71" customHeight="1" spans="1:70">
      <c r="A71" s="14" t="s">
        <v>84</v>
      </c>
      <c r="B71" s="15" t="s">
        <v>29</v>
      </c>
      <c r="C71" s="16"/>
      <c r="D71" s="21">
        <v>1</v>
      </c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0"/>
      <c r="AB71" s="20"/>
      <c r="AC71" s="20"/>
      <c r="AD71" s="20"/>
      <c r="AE71" s="19"/>
      <c r="AF71" s="20"/>
      <c r="AG71" s="19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19">
        <f t="shared" si="6"/>
        <v>1</v>
      </c>
      <c r="BP71" s="35">
        <f t="shared" si="7"/>
        <v>0</v>
      </c>
      <c r="BQ71" s="19">
        <f t="shared" si="8"/>
        <v>1</v>
      </c>
      <c r="BR71" s="36">
        <f t="shared" ref="BR71:BR88" si="9">BQ71*C71</f>
        <v>0</v>
      </c>
    </row>
    <row r="72" customHeight="1" spans="1:70">
      <c r="A72" s="14" t="s">
        <v>85</v>
      </c>
      <c r="B72" s="15" t="s">
        <v>17</v>
      </c>
      <c r="C72" s="16"/>
      <c r="D72" s="21">
        <v>0</v>
      </c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0"/>
      <c r="AB72" s="20"/>
      <c r="AC72" s="20"/>
      <c r="AD72" s="20"/>
      <c r="AE72" s="19"/>
      <c r="AF72" s="20"/>
      <c r="AG72" s="19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19">
        <f t="shared" si="6"/>
        <v>0</v>
      </c>
      <c r="BP72" s="35">
        <f t="shared" si="7"/>
        <v>0</v>
      </c>
      <c r="BQ72" s="19">
        <f t="shared" si="8"/>
        <v>0</v>
      </c>
      <c r="BR72" s="36">
        <f t="shared" si="9"/>
        <v>0</v>
      </c>
    </row>
    <row r="73" customHeight="1" spans="1:70">
      <c r="A73" s="14" t="s">
        <v>86</v>
      </c>
      <c r="B73" s="15" t="s">
        <v>29</v>
      </c>
      <c r="C73" s="16"/>
      <c r="D73" s="21">
        <v>3</v>
      </c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0"/>
      <c r="AB73" s="20"/>
      <c r="AC73" s="20"/>
      <c r="AD73" s="20"/>
      <c r="AE73" s="19"/>
      <c r="AF73" s="20"/>
      <c r="AG73" s="19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19">
        <f t="shared" si="6"/>
        <v>3</v>
      </c>
      <c r="BP73" s="35">
        <f t="shared" si="7"/>
        <v>0</v>
      </c>
      <c r="BQ73" s="19">
        <f t="shared" si="8"/>
        <v>3</v>
      </c>
      <c r="BR73" s="36">
        <f t="shared" si="9"/>
        <v>0</v>
      </c>
    </row>
    <row r="74" customHeight="1" spans="1:70">
      <c r="A74" s="14" t="s">
        <v>87</v>
      </c>
      <c r="B74" s="15" t="s">
        <v>29</v>
      </c>
      <c r="C74" s="16"/>
      <c r="D74" s="21">
        <v>2</v>
      </c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0"/>
      <c r="AB74" s="20"/>
      <c r="AC74" s="20"/>
      <c r="AD74" s="20"/>
      <c r="AE74" s="19"/>
      <c r="AF74" s="20"/>
      <c r="AG74" s="19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19">
        <f t="shared" si="6"/>
        <v>2</v>
      </c>
      <c r="BP74" s="35">
        <f t="shared" si="7"/>
        <v>0</v>
      </c>
      <c r="BQ74" s="19">
        <f t="shared" si="8"/>
        <v>2</v>
      </c>
      <c r="BR74" s="36">
        <f t="shared" si="9"/>
        <v>0</v>
      </c>
    </row>
    <row r="75" customHeight="1" spans="1:70">
      <c r="A75" s="14" t="s">
        <v>88</v>
      </c>
      <c r="B75" s="15" t="s">
        <v>29</v>
      </c>
      <c r="C75" s="16"/>
      <c r="D75" s="21">
        <v>3</v>
      </c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0"/>
      <c r="AB75" s="20"/>
      <c r="AC75" s="20"/>
      <c r="AD75" s="20"/>
      <c r="AE75" s="19"/>
      <c r="AF75" s="20"/>
      <c r="AG75" s="19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19">
        <f t="shared" si="6"/>
        <v>3</v>
      </c>
      <c r="BP75" s="35">
        <f t="shared" si="7"/>
        <v>0</v>
      </c>
      <c r="BQ75" s="19">
        <f t="shared" si="8"/>
        <v>3</v>
      </c>
      <c r="BR75" s="36">
        <f t="shared" si="9"/>
        <v>0</v>
      </c>
    </row>
    <row r="76" customHeight="1" spans="1:70">
      <c r="A76" s="14" t="s">
        <v>89</v>
      </c>
      <c r="B76" s="15" t="s">
        <v>90</v>
      </c>
      <c r="C76" s="16">
        <v>350</v>
      </c>
      <c r="D76" s="21">
        <v>0</v>
      </c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20"/>
      <c r="AB76" s="20"/>
      <c r="AC76" s="20"/>
      <c r="AD76" s="20"/>
      <c r="AE76" s="19"/>
      <c r="AF76" s="20"/>
      <c r="AG76" s="19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19">
        <f t="shared" si="6"/>
        <v>0</v>
      </c>
      <c r="BP76" s="35">
        <f t="shared" si="7"/>
        <v>0</v>
      </c>
      <c r="BQ76" s="19">
        <f t="shared" si="8"/>
        <v>0</v>
      </c>
      <c r="BR76" s="36">
        <f t="shared" si="9"/>
        <v>0</v>
      </c>
    </row>
    <row r="77" customHeight="1" spans="1:70">
      <c r="A77" s="14" t="s">
        <v>91</v>
      </c>
      <c r="B77" s="15" t="s">
        <v>17</v>
      </c>
      <c r="C77" s="16"/>
      <c r="D77" s="21">
        <v>0</v>
      </c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20"/>
      <c r="AB77" s="20"/>
      <c r="AC77" s="20"/>
      <c r="AD77" s="20"/>
      <c r="AE77" s="19"/>
      <c r="AF77" s="20"/>
      <c r="AG77" s="19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19">
        <f t="shared" si="6"/>
        <v>0</v>
      </c>
      <c r="BP77" s="35">
        <f t="shared" si="7"/>
        <v>0</v>
      </c>
      <c r="BQ77" s="19">
        <f t="shared" si="8"/>
        <v>0</v>
      </c>
      <c r="BR77" s="36">
        <f t="shared" si="9"/>
        <v>0</v>
      </c>
    </row>
    <row r="78" customHeight="1" spans="1:70">
      <c r="A78" s="14" t="s">
        <v>92</v>
      </c>
      <c r="B78" s="15" t="s">
        <v>17</v>
      </c>
      <c r="C78" s="16"/>
      <c r="D78" s="21">
        <v>0</v>
      </c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20"/>
      <c r="AB78" s="20"/>
      <c r="AC78" s="20"/>
      <c r="AD78" s="20"/>
      <c r="AE78" s="19"/>
      <c r="AF78" s="20"/>
      <c r="AG78" s="19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19">
        <f t="shared" si="6"/>
        <v>0</v>
      </c>
      <c r="BP78" s="35">
        <f t="shared" si="7"/>
        <v>0</v>
      </c>
      <c r="BQ78" s="19">
        <f t="shared" si="8"/>
        <v>0</v>
      </c>
      <c r="BR78" s="36">
        <f t="shared" si="9"/>
        <v>0</v>
      </c>
    </row>
    <row r="79" customHeight="1" spans="1:70">
      <c r="A79" s="14" t="s">
        <v>93</v>
      </c>
      <c r="B79" s="15" t="s">
        <v>17</v>
      </c>
      <c r="C79" s="16"/>
      <c r="D79" s="21">
        <v>0</v>
      </c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20"/>
      <c r="AB79" s="20"/>
      <c r="AC79" s="20"/>
      <c r="AD79" s="20"/>
      <c r="AE79" s="19"/>
      <c r="AF79" s="20"/>
      <c r="AG79" s="19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19">
        <f t="shared" si="6"/>
        <v>0</v>
      </c>
      <c r="BP79" s="35">
        <f t="shared" si="7"/>
        <v>0</v>
      </c>
      <c r="BQ79" s="19">
        <f t="shared" si="8"/>
        <v>0</v>
      </c>
      <c r="BR79" s="36">
        <f t="shared" si="9"/>
        <v>0</v>
      </c>
    </row>
    <row r="80" customHeight="1" spans="1:70">
      <c r="A80" s="14" t="s">
        <v>94</v>
      </c>
      <c r="B80" s="15" t="s">
        <v>17</v>
      </c>
      <c r="C80" s="16"/>
      <c r="D80" s="21">
        <v>16</v>
      </c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20"/>
      <c r="AB80" s="20"/>
      <c r="AC80" s="20"/>
      <c r="AD80" s="20"/>
      <c r="AE80" s="19"/>
      <c r="AF80" s="20"/>
      <c r="AG80" s="19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19">
        <f t="shared" si="6"/>
        <v>16</v>
      </c>
      <c r="BP80" s="35">
        <f t="shared" si="7"/>
        <v>0</v>
      </c>
      <c r="BQ80" s="19">
        <f t="shared" si="8"/>
        <v>16</v>
      </c>
      <c r="BR80" s="36">
        <f t="shared" si="9"/>
        <v>0</v>
      </c>
    </row>
    <row r="81" customHeight="1" spans="1:70">
      <c r="A81" s="14"/>
      <c r="B81" s="15"/>
      <c r="C81" s="16"/>
      <c r="D81" s="21"/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20"/>
      <c r="AB81" s="20"/>
      <c r="AC81" s="20"/>
      <c r="AD81" s="20"/>
      <c r="AE81" s="19"/>
      <c r="AF81" s="20"/>
      <c r="AG81" s="19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19">
        <f t="shared" si="6"/>
        <v>0</v>
      </c>
      <c r="BP81" s="35">
        <f t="shared" si="7"/>
        <v>0</v>
      </c>
      <c r="BQ81" s="19">
        <f t="shared" si="8"/>
        <v>0</v>
      </c>
      <c r="BR81" s="36">
        <f t="shared" si="9"/>
        <v>0</v>
      </c>
    </row>
    <row r="82" customHeight="1" spans="1:70">
      <c r="A82" s="14"/>
      <c r="B82" s="15"/>
      <c r="C82" s="16"/>
      <c r="D82" s="21"/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20"/>
      <c r="AB82" s="20"/>
      <c r="AC82" s="20"/>
      <c r="AD82" s="20"/>
      <c r="AE82" s="19"/>
      <c r="AF82" s="20"/>
      <c r="AG82" s="19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19">
        <f t="shared" si="6"/>
        <v>0</v>
      </c>
      <c r="BP82" s="35">
        <f t="shared" si="7"/>
        <v>0</v>
      </c>
      <c r="BQ82" s="19">
        <f t="shared" si="8"/>
        <v>0</v>
      </c>
      <c r="BR82" s="36">
        <f t="shared" si="9"/>
        <v>0</v>
      </c>
    </row>
    <row r="83" customHeight="1" spans="1:70">
      <c r="A83" s="14"/>
      <c r="B83" s="15"/>
      <c r="C83" s="16"/>
      <c r="D83" s="21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20"/>
      <c r="AB83" s="20"/>
      <c r="AC83" s="20"/>
      <c r="AD83" s="20"/>
      <c r="AE83" s="19"/>
      <c r="AF83" s="20"/>
      <c r="AG83" s="19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19">
        <f t="shared" si="6"/>
        <v>0</v>
      </c>
      <c r="BP83" s="35">
        <f t="shared" si="7"/>
        <v>0</v>
      </c>
      <c r="BQ83" s="19">
        <f t="shared" si="8"/>
        <v>0</v>
      </c>
      <c r="BR83" s="36">
        <f t="shared" si="9"/>
        <v>0</v>
      </c>
    </row>
    <row r="84" customHeight="1" spans="1:70">
      <c r="A84" s="14"/>
      <c r="B84" s="15"/>
      <c r="C84" s="16"/>
      <c r="D84" s="21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20"/>
      <c r="AB84" s="20"/>
      <c r="AC84" s="20"/>
      <c r="AD84" s="20"/>
      <c r="AE84" s="19"/>
      <c r="AF84" s="20"/>
      <c r="AG84" s="19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19">
        <f t="shared" si="6"/>
        <v>0</v>
      </c>
      <c r="BP84" s="35">
        <f t="shared" si="7"/>
        <v>0</v>
      </c>
      <c r="BQ84" s="19">
        <f t="shared" si="8"/>
        <v>0</v>
      </c>
      <c r="BR84" s="36">
        <f t="shared" si="9"/>
        <v>0</v>
      </c>
    </row>
    <row r="85" customHeight="1" spans="1:70">
      <c r="A85" s="14"/>
      <c r="B85" s="15"/>
      <c r="C85" s="16"/>
      <c r="D85" s="21"/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20"/>
      <c r="AB85" s="20"/>
      <c r="AC85" s="20"/>
      <c r="AD85" s="20"/>
      <c r="AE85" s="19"/>
      <c r="AF85" s="20"/>
      <c r="AG85" s="19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19">
        <f t="shared" si="6"/>
        <v>0</v>
      </c>
      <c r="BP85" s="35">
        <f t="shared" si="7"/>
        <v>0</v>
      </c>
      <c r="BQ85" s="19">
        <f t="shared" si="8"/>
        <v>0</v>
      </c>
      <c r="BR85" s="36">
        <f t="shared" si="9"/>
        <v>0</v>
      </c>
    </row>
    <row r="86" customHeight="1" spans="1:70">
      <c r="A86" s="14"/>
      <c r="B86" s="15"/>
      <c r="C86" s="16"/>
      <c r="D86" s="21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20"/>
      <c r="AB86" s="20"/>
      <c r="AC86" s="20"/>
      <c r="AD86" s="20"/>
      <c r="AE86" s="19"/>
      <c r="AF86" s="20"/>
      <c r="AG86" s="19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19">
        <f t="shared" si="6"/>
        <v>0</v>
      </c>
      <c r="BP86" s="35">
        <f t="shared" si="7"/>
        <v>0</v>
      </c>
      <c r="BQ86" s="19">
        <f t="shared" si="8"/>
        <v>0</v>
      </c>
      <c r="BR86" s="36">
        <f t="shared" si="9"/>
        <v>0</v>
      </c>
    </row>
    <row r="87" customHeight="1" spans="1:70">
      <c r="A87" s="14"/>
      <c r="B87" s="15"/>
      <c r="C87" s="16"/>
      <c r="D87" s="21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20"/>
      <c r="AB87" s="20"/>
      <c r="AC87" s="20"/>
      <c r="AD87" s="20"/>
      <c r="AE87" s="19"/>
      <c r="AF87" s="20"/>
      <c r="AG87" s="19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19">
        <f t="shared" si="6"/>
        <v>0</v>
      </c>
      <c r="BP87" s="35">
        <f t="shared" si="7"/>
        <v>0</v>
      </c>
      <c r="BQ87" s="19">
        <f t="shared" si="8"/>
        <v>0</v>
      </c>
      <c r="BR87" s="36">
        <f t="shared" si="9"/>
        <v>0</v>
      </c>
    </row>
    <row r="88" customHeight="1" spans="1:70">
      <c r="A88" s="14"/>
      <c r="B88" s="15"/>
      <c r="C88" s="16"/>
      <c r="D88" s="21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20"/>
      <c r="AB88" s="20"/>
      <c r="AC88" s="20"/>
      <c r="AD88" s="20"/>
      <c r="AE88" s="19"/>
      <c r="AF88" s="20"/>
      <c r="AG88" s="19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19">
        <f t="shared" si="6"/>
        <v>0</v>
      </c>
      <c r="BP88" s="35">
        <f t="shared" si="7"/>
        <v>0</v>
      </c>
      <c r="BQ88" s="19">
        <f t="shared" si="8"/>
        <v>0</v>
      </c>
      <c r="BR88" s="36">
        <f t="shared" si="9"/>
        <v>0</v>
      </c>
    </row>
    <row r="89" customHeight="1" spans="1:70">
      <c r="A89" s="40" t="s">
        <v>95</v>
      </c>
      <c r="B89" s="41"/>
      <c r="C89" s="42"/>
      <c r="D89" s="42"/>
      <c r="E89" s="43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44"/>
      <c r="AB89" s="44"/>
      <c r="AC89" s="44"/>
      <c r="AD89" s="44"/>
      <c r="AE89" s="30"/>
      <c r="AF89" s="44"/>
      <c r="AG89" s="30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30">
        <f t="shared" si="6"/>
        <v>0</v>
      </c>
      <c r="BP89" s="30">
        <f t="shared" si="7"/>
        <v>0</v>
      </c>
      <c r="BQ89" s="30">
        <f t="shared" si="8"/>
        <v>0</v>
      </c>
      <c r="BR89" s="45"/>
    </row>
    <row r="90" customHeight="1" spans="1:70">
      <c r="A90" s="14" t="s">
        <v>96</v>
      </c>
      <c r="B90" s="15" t="s">
        <v>17</v>
      </c>
      <c r="C90" s="16">
        <v>420</v>
      </c>
      <c r="D90" s="21">
        <v>2</v>
      </c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20"/>
      <c r="AB90" s="20"/>
      <c r="AC90" s="20"/>
      <c r="AD90" s="20"/>
      <c r="AE90" s="19"/>
      <c r="AF90" s="20"/>
      <c r="AG90" s="19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19">
        <f t="shared" si="6"/>
        <v>2</v>
      </c>
      <c r="BP90" s="35">
        <f t="shared" si="7"/>
        <v>0</v>
      </c>
      <c r="BQ90" s="19">
        <f t="shared" si="8"/>
        <v>2</v>
      </c>
      <c r="BR90" s="36">
        <f>BQ90*C90</f>
        <v>840</v>
      </c>
    </row>
    <row r="91" customHeight="1" spans="1:70">
      <c r="A91" s="14" t="s">
        <v>97</v>
      </c>
      <c r="B91" s="15" t="s">
        <v>17</v>
      </c>
      <c r="C91" s="16"/>
      <c r="D91" s="21">
        <v>0</v>
      </c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20"/>
      <c r="AB91" s="20"/>
      <c r="AC91" s="20"/>
      <c r="AD91" s="20"/>
      <c r="AE91" s="19"/>
      <c r="AF91" s="20"/>
      <c r="AG91" s="19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19">
        <f t="shared" si="6"/>
        <v>0</v>
      </c>
      <c r="BP91" s="35">
        <f t="shared" si="7"/>
        <v>0</v>
      </c>
      <c r="BQ91" s="19">
        <f t="shared" si="8"/>
        <v>0</v>
      </c>
      <c r="BR91" s="36">
        <f>BQ91*C91</f>
        <v>0</v>
      </c>
    </row>
    <row r="92" customHeight="1" spans="1:70">
      <c r="A92" s="14" t="s">
        <v>98</v>
      </c>
      <c r="B92" s="15" t="s">
        <v>17</v>
      </c>
      <c r="C92" s="16">
        <v>300</v>
      </c>
      <c r="D92" s="21">
        <v>0</v>
      </c>
      <c r="E92" s="18"/>
      <c r="F92" s="19">
        <v>1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20"/>
      <c r="AB92" s="20"/>
      <c r="AC92" s="20"/>
      <c r="AD92" s="20"/>
      <c r="AE92" s="19"/>
      <c r="AF92" s="20"/>
      <c r="AG92" s="19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19">
        <f t="shared" si="6"/>
        <v>0</v>
      </c>
      <c r="BP92" s="35">
        <f t="shared" si="7"/>
        <v>1</v>
      </c>
      <c r="BQ92" s="19">
        <f t="shared" si="8"/>
        <v>-1</v>
      </c>
      <c r="BR92" s="36">
        <f>BQ92*C92</f>
        <v>-300</v>
      </c>
    </row>
    <row r="93" customHeight="1" spans="1:70">
      <c r="A93" s="14" t="s">
        <v>99</v>
      </c>
      <c r="B93" s="15" t="s">
        <v>17</v>
      </c>
      <c r="C93" s="16"/>
      <c r="D93" s="21">
        <v>9</v>
      </c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20"/>
      <c r="AB93" s="20"/>
      <c r="AC93" s="20"/>
      <c r="AD93" s="20"/>
      <c r="AE93" s="19"/>
      <c r="AF93" s="20"/>
      <c r="AG93" s="19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19">
        <f t="shared" si="6"/>
        <v>9</v>
      </c>
      <c r="BP93" s="35">
        <f t="shared" si="7"/>
        <v>0</v>
      </c>
      <c r="BQ93" s="19">
        <f t="shared" si="8"/>
        <v>9</v>
      </c>
      <c r="BR93" s="36">
        <f>BQ93*C93</f>
        <v>0</v>
      </c>
    </row>
    <row r="94" customHeight="1" spans="1:70">
      <c r="A94" s="40" t="s">
        <v>100</v>
      </c>
      <c r="B94" s="41"/>
      <c r="C94" s="42"/>
      <c r="D94" s="42"/>
      <c r="E94" s="43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44"/>
      <c r="AB94" s="44"/>
      <c r="AC94" s="44"/>
      <c r="AD94" s="44"/>
      <c r="AE94" s="30"/>
      <c r="AF94" s="44"/>
      <c r="AG94" s="30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30">
        <f t="shared" si="6"/>
        <v>0</v>
      </c>
      <c r="BP94" s="30">
        <f t="shared" si="7"/>
        <v>0</v>
      </c>
      <c r="BQ94" s="30">
        <f t="shared" si="8"/>
        <v>0</v>
      </c>
      <c r="BR94" s="45"/>
    </row>
    <row r="95" customHeight="1" spans="1:70">
      <c r="A95" s="14" t="s">
        <v>101</v>
      </c>
      <c r="B95" s="15" t="s">
        <v>102</v>
      </c>
      <c r="C95" s="16"/>
      <c r="D95" s="21">
        <v>7</v>
      </c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20"/>
      <c r="AB95" s="20"/>
      <c r="AC95" s="20"/>
      <c r="AD95" s="20"/>
      <c r="AE95" s="19"/>
      <c r="AF95" s="20"/>
      <c r="AG95" s="19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19">
        <f t="shared" si="6"/>
        <v>7</v>
      </c>
      <c r="BP95" s="35">
        <f t="shared" si="7"/>
        <v>0</v>
      </c>
      <c r="BQ95" s="19">
        <f t="shared" si="8"/>
        <v>7</v>
      </c>
      <c r="BR95" s="36">
        <f t="shared" ref="BR95:BR102" si="10">BQ95*C95</f>
        <v>0</v>
      </c>
    </row>
    <row r="96" customHeight="1" spans="1:70">
      <c r="A96" s="14" t="s">
        <v>103</v>
      </c>
      <c r="B96" s="15" t="s">
        <v>102</v>
      </c>
      <c r="C96" s="16"/>
      <c r="D96" s="21">
        <v>2</v>
      </c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20"/>
      <c r="AB96" s="20"/>
      <c r="AC96" s="20"/>
      <c r="AD96" s="20"/>
      <c r="AE96" s="19"/>
      <c r="AF96" s="20"/>
      <c r="AG96" s="19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19">
        <f t="shared" si="6"/>
        <v>2</v>
      </c>
      <c r="BP96" s="35">
        <f t="shared" si="7"/>
        <v>0</v>
      </c>
      <c r="BQ96" s="19">
        <f t="shared" si="8"/>
        <v>2</v>
      </c>
      <c r="BR96" s="36">
        <f t="shared" si="10"/>
        <v>0</v>
      </c>
    </row>
    <row r="97" customHeight="1" spans="1:70">
      <c r="A97" s="14" t="s">
        <v>104</v>
      </c>
      <c r="B97" s="15" t="s">
        <v>17</v>
      </c>
      <c r="C97" s="16"/>
      <c r="D97" s="21">
        <v>50</v>
      </c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46"/>
      <c r="Y97" s="19"/>
      <c r="Z97" s="19"/>
      <c r="AA97" s="20"/>
      <c r="AB97" s="20"/>
      <c r="AC97" s="20"/>
      <c r="AD97" s="20"/>
      <c r="AE97" s="19"/>
      <c r="AF97" s="20"/>
      <c r="AG97" s="19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19">
        <f t="shared" si="6"/>
        <v>50</v>
      </c>
      <c r="BP97" s="35">
        <f t="shared" si="7"/>
        <v>0</v>
      </c>
      <c r="BQ97" s="19">
        <f t="shared" si="8"/>
        <v>50</v>
      </c>
      <c r="BR97" s="36">
        <f t="shared" si="10"/>
        <v>0</v>
      </c>
    </row>
    <row r="98" customHeight="1" spans="1:70">
      <c r="A98" s="14" t="s">
        <v>105</v>
      </c>
      <c r="B98" s="15" t="s">
        <v>17</v>
      </c>
      <c r="C98" s="16"/>
      <c r="D98" s="21">
        <v>48</v>
      </c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20"/>
      <c r="AB98" s="20"/>
      <c r="AC98" s="20"/>
      <c r="AD98" s="20"/>
      <c r="AE98" s="19"/>
      <c r="AF98" s="20"/>
      <c r="AG98" s="19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19">
        <f t="shared" si="6"/>
        <v>48</v>
      </c>
      <c r="BP98" s="35">
        <f t="shared" si="7"/>
        <v>0</v>
      </c>
      <c r="BQ98" s="19">
        <f t="shared" si="8"/>
        <v>48</v>
      </c>
      <c r="BR98" s="36">
        <f t="shared" si="10"/>
        <v>0</v>
      </c>
    </row>
    <row r="99" customHeight="1" spans="1:70">
      <c r="A99" s="14" t="s">
        <v>106</v>
      </c>
      <c r="B99" s="15" t="s">
        <v>17</v>
      </c>
      <c r="C99" s="16"/>
      <c r="D99" s="21">
        <v>45</v>
      </c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20"/>
      <c r="AB99" s="20"/>
      <c r="AC99" s="20"/>
      <c r="AD99" s="20"/>
      <c r="AE99" s="19"/>
      <c r="AF99" s="20"/>
      <c r="AG99" s="19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19">
        <f t="shared" si="6"/>
        <v>45</v>
      </c>
      <c r="BP99" s="35">
        <f t="shared" si="7"/>
        <v>0</v>
      </c>
      <c r="BQ99" s="19">
        <f t="shared" si="8"/>
        <v>45</v>
      </c>
      <c r="BR99" s="36">
        <f t="shared" si="10"/>
        <v>0</v>
      </c>
    </row>
    <row r="100" customHeight="1" spans="1:70">
      <c r="A100" s="14" t="s">
        <v>107</v>
      </c>
      <c r="B100" s="15" t="s">
        <v>108</v>
      </c>
      <c r="C100" s="16"/>
      <c r="D100" s="21">
        <v>5</v>
      </c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20"/>
      <c r="AB100" s="20"/>
      <c r="AC100" s="20"/>
      <c r="AD100" s="20"/>
      <c r="AE100" s="19"/>
      <c r="AF100" s="20"/>
      <c r="AG100" s="19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19">
        <f t="shared" si="6"/>
        <v>5</v>
      </c>
      <c r="BP100" s="35">
        <f t="shared" si="7"/>
        <v>0</v>
      </c>
      <c r="BQ100" s="19">
        <f t="shared" si="8"/>
        <v>5</v>
      </c>
      <c r="BR100" s="36">
        <f t="shared" si="10"/>
        <v>0</v>
      </c>
    </row>
    <row r="101" customHeight="1" spans="1:70">
      <c r="A101" s="14" t="s">
        <v>109</v>
      </c>
      <c r="B101" s="15" t="s">
        <v>108</v>
      </c>
      <c r="C101" s="16"/>
      <c r="D101" s="21">
        <v>6</v>
      </c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20"/>
      <c r="AB101" s="20"/>
      <c r="AC101" s="20"/>
      <c r="AD101" s="20"/>
      <c r="AE101" s="19"/>
      <c r="AF101" s="20"/>
      <c r="AG101" s="19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19">
        <f t="shared" si="6"/>
        <v>6</v>
      </c>
      <c r="BP101" s="35">
        <f t="shared" si="7"/>
        <v>0</v>
      </c>
      <c r="BQ101" s="19">
        <f t="shared" si="8"/>
        <v>6</v>
      </c>
      <c r="BR101" s="36">
        <f t="shared" si="10"/>
        <v>0</v>
      </c>
    </row>
    <row r="102" customHeight="1" spans="1:70">
      <c r="A102" s="14" t="s">
        <v>110</v>
      </c>
      <c r="B102" s="15" t="s">
        <v>108</v>
      </c>
      <c r="C102" s="16"/>
      <c r="D102" s="21">
        <v>5</v>
      </c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20"/>
      <c r="AB102" s="20"/>
      <c r="AC102" s="20"/>
      <c r="AD102" s="20"/>
      <c r="AE102" s="19"/>
      <c r="AF102" s="20"/>
      <c r="AG102" s="19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19">
        <f t="shared" si="6"/>
        <v>5</v>
      </c>
      <c r="BP102" s="35">
        <f t="shared" si="7"/>
        <v>0</v>
      </c>
      <c r="BQ102" s="19">
        <f t="shared" si="8"/>
        <v>5</v>
      </c>
      <c r="BR102" s="36">
        <f t="shared" si="10"/>
        <v>0</v>
      </c>
    </row>
    <row r="103" customHeight="1" spans="1:70">
      <c r="A103" s="14" t="s">
        <v>111</v>
      </c>
      <c r="B103" s="15" t="s">
        <v>108</v>
      </c>
      <c r="C103" s="16"/>
      <c r="D103" s="21">
        <v>0</v>
      </c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20"/>
      <c r="AB103" s="20"/>
      <c r="AC103" s="20"/>
      <c r="AD103" s="20"/>
      <c r="AE103" s="19"/>
      <c r="AF103" s="20"/>
      <c r="AG103" s="19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19">
        <f t="shared" si="6"/>
        <v>0</v>
      </c>
      <c r="BP103" s="35">
        <f t="shared" si="7"/>
        <v>0</v>
      </c>
      <c r="BQ103" s="19">
        <f t="shared" si="8"/>
        <v>0</v>
      </c>
      <c r="BR103" s="36"/>
    </row>
    <row r="104" customHeight="1" spans="1:70">
      <c r="A104" s="14" t="s">
        <v>112</v>
      </c>
      <c r="B104" s="15" t="s">
        <v>108</v>
      </c>
      <c r="C104" s="16"/>
      <c r="D104" s="21">
        <v>0</v>
      </c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20"/>
      <c r="AB104" s="20"/>
      <c r="AC104" s="20"/>
      <c r="AD104" s="20"/>
      <c r="AE104" s="19"/>
      <c r="AF104" s="20"/>
      <c r="AG104" s="19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19">
        <f t="shared" si="6"/>
        <v>0</v>
      </c>
      <c r="BP104" s="35">
        <f t="shared" si="7"/>
        <v>0</v>
      </c>
      <c r="BQ104" s="19">
        <f t="shared" si="8"/>
        <v>0</v>
      </c>
      <c r="BR104" s="36"/>
    </row>
    <row r="105" customHeight="1" spans="1:70">
      <c r="A105" s="14" t="s">
        <v>113</v>
      </c>
      <c r="B105" s="15" t="s">
        <v>17</v>
      </c>
      <c r="C105" s="16"/>
      <c r="D105" s="21">
        <v>4</v>
      </c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20"/>
      <c r="AB105" s="20"/>
      <c r="AC105" s="20"/>
      <c r="AD105" s="20"/>
      <c r="AE105" s="19"/>
      <c r="AF105" s="20"/>
      <c r="AG105" s="19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19">
        <f t="shared" si="6"/>
        <v>4</v>
      </c>
      <c r="BP105" s="35">
        <f t="shared" si="7"/>
        <v>0</v>
      </c>
      <c r="BQ105" s="19">
        <f t="shared" si="8"/>
        <v>4</v>
      </c>
      <c r="BR105" s="36">
        <f t="shared" ref="BR105:BR142" si="11">BQ105*C105</f>
        <v>0</v>
      </c>
    </row>
    <row r="106" customHeight="1" spans="1:70">
      <c r="A106" s="14" t="s">
        <v>114</v>
      </c>
      <c r="B106" s="15" t="s">
        <v>17</v>
      </c>
      <c r="C106" s="16"/>
      <c r="D106" s="21">
        <v>10</v>
      </c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20"/>
      <c r="AB106" s="20"/>
      <c r="AC106" s="20"/>
      <c r="AD106" s="20"/>
      <c r="AE106" s="19"/>
      <c r="AF106" s="20"/>
      <c r="AG106" s="19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19">
        <f t="shared" si="6"/>
        <v>10</v>
      </c>
      <c r="BP106" s="35">
        <f t="shared" si="7"/>
        <v>0</v>
      </c>
      <c r="BQ106" s="19">
        <f t="shared" si="8"/>
        <v>10</v>
      </c>
      <c r="BR106" s="36">
        <f t="shared" si="11"/>
        <v>0</v>
      </c>
    </row>
    <row r="107" customHeight="1" spans="1:70">
      <c r="A107" s="14" t="s">
        <v>115</v>
      </c>
      <c r="B107" s="15" t="s">
        <v>17</v>
      </c>
      <c r="C107" s="16"/>
      <c r="D107" s="21">
        <v>44</v>
      </c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20"/>
      <c r="AB107" s="20"/>
      <c r="AC107" s="20"/>
      <c r="AD107" s="20"/>
      <c r="AE107" s="19"/>
      <c r="AF107" s="20"/>
      <c r="AG107" s="19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19">
        <f t="shared" si="6"/>
        <v>44</v>
      </c>
      <c r="BP107" s="35">
        <f t="shared" si="7"/>
        <v>0</v>
      </c>
      <c r="BQ107" s="19">
        <f t="shared" si="8"/>
        <v>44</v>
      </c>
      <c r="BR107" s="36">
        <f t="shared" si="11"/>
        <v>0</v>
      </c>
    </row>
    <row r="108" customHeight="1" spans="1:70">
      <c r="A108" s="14" t="s">
        <v>116</v>
      </c>
      <c r="B108" s="15" t="s">
        <v>17</v>
      </c>
      <c r="C108" s="16"/>
      <c r="D108" s="21">
        <v>61</v>
      </c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20"/>
      <c r="AB108" s="20"/>
      <c r="AC108" s="20"/>
      <c r="AD108" s="20"/>
      <c r="AE108" s="19"/>
      <c r="AF108" s="20"/>
      <c r="AG108" s="19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19">
        <f t="shared" si="6"/>
        <v>61</v>
      </c>
      <c r="BP108" s="35">
        <f t="shared" si="7"/>
        <v>0</v>
      </c>
      <c r="BQ108" s="19">
        <f t="shared" si="8"/>
        <v>61</v>
      </c>
      <c r="BR108" s="36">
        <f t="shared" si="11"/>
        <v>0</v>
      </c>
    </row>
    <row r="109" customHeight="1" spans="1:70">
      <c r="A109" s="14" t="s">
        <v>117</v>
      </c>
      <c r="B109" s="15" t="s">
        <v>17</v>
      </c>
      <c r="C109" s="16"/>
      <c r="D109" s="21">
        <v>9</v>
      </c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20"/>
      <c r="AB109" s="20"/>
      <c r="AC109" s="20"/>
      <c r="AD109" s="20"/>
      <c r="AE109" s="19"/>
      <c r="AF109" s="20"/>
      <c r="AG109" s="19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19">
        <f t="shared" si="6"/>
        <v>9</v>
      </c>
      <c r="BP109" s="35">
        <f t="shared" si="7"/>
        <v>0</v>
      </c>
      <c r="BQ109" s="19">
        <f t="shared" si="8"/>
        <v>9</v>
      </c>
      <c r="BR109" s="36">
        <f t="shared" si="11"/>
        <v>0</v>
      </c>
    </row>
    <row r="110" customHeight="1" spans="1:70">
      <c r="A110" s="14" t="s">
        <v>118</v>
      </c>
      <c r="B110" s="15" t="s">
        <v>17</v>
      </c>
      <c r="C110" s="16"/>
      <c r="D110" s="21">
        <v>4</v>
      </c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20"/>
      <c r="AB110" s="20"/>
      <c r="AC110" s="20"/>
      <c r="AD110" s="20"/>
      <c r="AE110" s="19"/>
      <c r="AF110" s="20"/>
      <c r="AG110" s="19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19">
        <f t="shared" si="6"/>
        <v>4</v>
      </c>
      <c r="BP110" s="35">
        <f t="shared" si="7"/>
        <v>0</v>
      </c>
      <c r="BQ110" s="19">
        <f t="shared" si="8"/>
        <v>4</v>
      </c>
      <c r="BR110" s="36">
        <f t="shared" si="11"/>
        <v>0</v>
      </c>
    </row>
    <row r="111" customHeight="1" spans="1:70">
      <c r="A111" s="14" t="s">
        <v>119</v>
      </c>
      <c r="B111" s="15" t="s">
        <v>17</v>
      </c>
      <c r="C111" s="16"/>
      <c r="D111" s="21"/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20"/>
      <c r="AB111" s="20"/>
      <c r="AC111" s="20"/>
      <c r="AD111" s="20"/>
      <c r="AE111" s="19"/>
      <c r="AF111" s="20"/>
      <c r="AG111" s="19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19">
        <f t="shared" si="6"/>
        <v>0</v>
      </c>
      <c r="BP111" s="35">
        <f t="shared" si="7"/>
        <v>0</v>
      </c>
      <c r="BQ111" s="19">
        <f t="shared" si="8"/>
        <v>0</v>
      </c>
      <c r="BR111" s="36">
        <f t="shared" si="11"/>
        <v>0</v>
      </c>
    </row>
    <row r="112" customHeight="1" spans="1:70">
      <c r="A112" s="14" t="s">
        <v>120</v>
      </c>
      <c r="B112" s="15" t="s">
        <v>51</v>
      </c>
      <c r="C112" s="16"/>
      <c r="D112" s="21">
        <v>4</v>
      </c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20"/>
      <c r="AB112" s="20"/>
      <c r="AC112" s="20"/>
      <c r="AD112" s="20"/>
      <c r="AE112" s="19"/>
      <c r="AF112" s="20"/>
      <c r="AG112" s="19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19">
        <f t="shared" si="6"/>
        <v>4</v>
      </c>
      <c r="BP112" s="35">
        <f t="shared" si="7"/>
        <v>0</v>
      </c>
      <c r="BQ112" s="19">
        <f t="shared" si="8"/>
        <v>4</v>
      </c>
      <c r="BR112" s="36">
        <f t="shared" si="11"/>
        <v>0</v>
      </c>
    </row>
    <row r="113" customHeight="1" spans="1:70">
      <c r="A113" s="14" t="s">
        <v>121</v>
      </c>
      <c r="B113" s="15" t="s">
        <v>17</v>
      </c>
      <c r="C113" s="16"/>
      <c r="D113" s="21">
        <v>73</v>
      </c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20"/>
      <c r="AB113" s="20"/>
      <c r="AC113" s="20"/>
      <c r="AD113" s="20"/>
      <c r="AE113" s="19"/>
      <c r="AF113" s="20"/>
      <c r="AG113" s="19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19">
        <f t="shared" si="6"/>
        <v>73</v>
      </c>
      <c r="BP113" s="35">
        <f t="shared" si="7"/>
        <v>0</v>
      </c>
      <c r="BQ113" s="19">
        <f t="shared" si="8"/>
        <v>73</v>
      </c>
      <c r="BR113" s="36">
        <f t="shared" si="11"/>
        <v>0</v>
      </c>
    </row>
    <row r="114" customHeight="1" spans="1:70">
      <c r="A114" s="14" t="s">
        <v>122</v>
      </c>
      <c r="B114" s="15" t="s">
        <v>17</v>
      </c>
      <c r="C114" s="16"/>
      <c r="D114" s="21">
        <v>80</v>
      </c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20"/>
      <c r="AB114" s="20"/>
      <c r="AC114" s="20"/>
      <c r="AD114" s="20"/>
      <c r="AE114" s="19"/>
      <c r="AF114" s="20"/>
      <c r="AG114" s="19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19">
        <f t="shared" si="6"/>
        <v>80</v>
      </c>
      <c r="BP114" s="35">
        <f t="shared" si="7"/>
        <v>0</v>
      </c>
      <c r="BQ114" s="19">
        <f t="shared" si="8"/>
        <v>80</v>
      </c>
      <c r="BR114" s="36">
        <f t="shared" si="11"/>
        <v>0</v>
      </c>
    </row>
    <row r="115" customHeight="1" spans="1:70">
      <c r="A115" s="14" t="s">
        <v>123</v>
      </c>
      <c r="B115" s="15" t="s">
        <v>17</v>
      </c>
      <c r="C115" s="16"/>
      <c r="D115" s="21">
        <v>83</v>
      </c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20"/>
      <c r="AB115" s="20"/>
      <c r="AC115" s="20"/>
      <c r="AD115" s="20"/>
      <c r="AE115" s="19"/>
      <c r="AF115" s="20"/>
      <c r="AG115" s="19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19">
        <f t="shared" si="6"/>
        <v>83</v>
      </c>
      <c r="BP115" s="35">
        <f t="shared" si="7"/>
        <v>0</v>
      </c>
      <c r="BQ115" s="19">
        <f t="shared" si="8"/>
        <v>83</v>
      </c>
      <c r="BR115" s="36">
        <f t="shared" si="11"/>
        <v>0</v>
      </c>
    </row>
    <row r="116" customHeight="1" spans="1:70">
      <c r="A116" s="14" t="s">
        <v>124</v>
      </c>
      <c r="B116" s="15" t="s">
        <v>17</v>
      </c>
      <c r="C116" s="16"/>
      <c r="D116" s="21">
        <v>71</v>
      </c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20"/>
      <c r="AB116" s="20"/>
      <c r="AC116" s="20"/>
      <c r="AD116" s="20"/>
      <c r="AE116" s="19"/>
      <c r="AF116" s="20"/>
      <c r="AG116" s="19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19">
        <f t="shared" si="6"/>
        <v>71</v>
      </c>
      <c r="BP116" s="35">
        <f t="shared" si="7"/>
        <v>0</v>
      </c>
      <c r="BQ116" s="19">
        <f t="shared" si="8"/>
        <v>71</v>
      </c>
      <c r="BR116" s="36">
        <f t="shared" si="11"/>
        <v>0</v>
      </c>
    </row>
    <row r="117" customHeight="1" spans="1:70">
      <c r="A117" s="14" t="s">
        <v>125</v>
      </c>
      <c r="B117" s="15" t="s">
        <v>17</v>
      </c>
      <c r="C117" s="16"/>
      <c r="D117" s="21">
        <v>6</v>
      </c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20"/>
      <c r="AB117" s="20"/>
      <c r="AC117" s="20"/>
      <c r="AD117" s="20"/>
      <c r="AE117" s="19"/>
      <c r="AF117" s="20"/>
      <c r="AG117" s="19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19">
        <f t="shared" si="6"/>
        <v>6</v>
      </c>
      <c r="BP117" s="35">
        <f t="shared" si="7"/>
        <v>0</v>
      </c>
      <c r="BQ117" s="19">
        <f t="shared" si="8"/>
        <v>6</v>
      </c>
      <c r="BR117" s="36">
        <f t="shared" si="11"/>
        <v>0</v>
      </c>
    </row>
    <row r="118" customHeight="1" spans="1:70">
      <c r="A118" s="14" t="s">
        <v>126</v>
      </c>
      <c r="B118" s="15" t="s">
        <v>17</v>
      </c>
      <c r="C118" s="16"/>
      <c r="D118" s="21">
        <v>8</v>
      </c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20"/>
      <c r="AB118" s="20"/>
      <c r="AC118" s="20"/>
      <c r="AD118" s="20"/>
      <c r="AE118" s="19"/>
      <c r="AF118" s="20"/>
      <c r="AG118" s="19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19">
        <f t="shared" si="6"/>
        <v>8</v>
      </c>
      <c r="BP118" s="35">
        <f t="shared" si="7"/>
        <v>0</v>
      </c>
      <c r="BQ118" s="19">
        <f t="shared" si="8"/>
        <v>8</v>
      </c>
      <c r="BR118" s="36">
        <f t="shared" si="11"/>
        <v>0</v>
      </c>
    </row>
    <row r="119" customHeight="1" spans="1:70">
      <c r="A119" s="14" t="s">
        <v>127</v>
      </c>
      <c r="B119" s="15" t="s">
        <v>17</v>
      </c>
      <c r="C119" s="16"/>
      <c r="D119" s="21">
        <v>7</v>
      </c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20"/>
      <c r="AB119" s="20"/>
      <c r="AC119" s="20"/>
      <c r="AD119" s="20"/>
      <c r="AE119" s="19"/>
      <c r="AF119" s="20"/>
      <c r="AG119" s="19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19">
        <f t="shared" si="6"/>
        <v>7</v>
      </c>
      <c r="BP119" s="35">
        <f t="shared" si="7"/>
        <v>0</v>
      </c>
      <c r="BQ119" s="19">
        <f t="shared" si="8"/>
        <v>7</v>
      </c>
      <c r="BR119" s="36">
        <f t="shared" si="11"/>
        <v>0</v>
      </c>
    </row>
    <row r="120" customHeight="1" spans="1:70">
      <c r="A120" s="14" t="s">
        <v>128</v>
      </c>
      <c r="B120" s="15" t="s">
        <v>129</v>
      </c>
      <c r="C120" s="16"/>
      <c r="D120" s="21">
        <v>2</v>
      </c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20"/>
      <c r="AB120" s="20"/>
      <c r="AC120" s="20"/>
      <c r="AD120" s="20"/>
      <c r="AE120" s="19"/>
      <c r="AF120" s="20"/>
      <c r="AG120" s="19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19">
        <f t="shared" si="6"/>
        <v>2</v>
      </c>
      <c r="BP120" s="35">
        <f t="shared" si="7"/>
        <v>0</v>
      </c>
      <c r="BQ120" s="19">
        <f t="shared" si="8"/>
        <v>2</v>
      </c>
      <c r="BR120" s="36">
        <f t="shared" si="11"/>
        <v>0</v>
      </c>
    </row>
    <row r="121" customHeight="1" spans="1:70">
      <c r="A121" s="14" t="s">
        <v>130</v>
      </c>
      <c r="B121" s="15" t="s">
        <v>17</v>
      </c>
      <c r="C121" s="16"/>
      <c r="D121" s="21">
        <v>0</v>
      </c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20"/>
      <c r="AB121" s="20"/>
      <c r="AC121" s="20"/>
      <c r="AD121" s="20"/>
      <c r="AE121" s="19"/>
      <c r="AF121" s="20"/>
      <c r="AG121" s="19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19">
        <f t="shared" ref="BO121:BO184" si="12">SUM(D121,E121,G121,I121,K121,M121,O121,Q121,S121,U121,Y121,AA121,AC121,AE121,AG121,AI121,AK121,AM121,AO121,AQ121,AS121,AU121,AW121,AY121,BA121,BC121,BE121,BG121,BI121,BK121,BM121)</f>
        <v>0</v>
      </c>
      <c r="BP121" s="35">
        <f t="shared" ref="BP121:BP184" si="13">SUM(F121,H121,J121,L121,N121,P121,R121,T121,V121,X121,Z121,AB121,AD121,AF121,AH121,AJ121,AL121,AN121,AP121,AR121,AT121,AV121,AX121,AZ121,BB121,BD121,BF121,BH121,BJ121,BL121,BN121)</f>
        <v>0</v>
      </c>
      <c r="BQ121" s="19">
        <f t="shared" ref="BQ121:BQ184" si="14">BO121-BP121</f>
        <v>0</v>
      </c>
      <c r="BR121" s="36">
        <f t="shared" si="11"/>
        <v>0</v>
      </c>
    </row>
    <row r="122" customHeight="1" spans="1:70">
      <c r="A122" s="14" t="s">
        <v>131</v>
      </c>
      <c r="B122" s="15" t="s">
        <v>129</v>
      </c>
      <c r="C122" s="16"/>
      <c r="D122" s="21">
        <v>3</v>
      </c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20"/>
      <c r="AB122" s="20"/>
      <c r="AC122" s="20"/>
      <c r="AD122" s="20"/>
      <c r="AE122" s="19"/>
      <c r="AF122" s="20"/>
      <c r="AG122" s="19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19">
        <f t="shared" si="12"/>
        <v>3</v>
      </c>
      <c r="BP122" s="35">
        <f t="shared" si="13"/>
        <v>0</v>
      </c>
      <c r="BQ122" s="19">
        <f t="shared" si="14"/>
        <v>3</v>
      </c>
      <c r="BR122" s="36">
        <f t="shared" si="11"/>
        <v>0</v>
      </c>
    </row>
    <row r="123" customHeight="1" spans="1:70">
      <c r="A123" s="14" t="s">
        <v>132</v>
      </c>
      <c r="B123" s="15" t="s">
        <v>129</v>
      </c>
      <c r="C123" s="16"/>
      <c r="D123" s="21">
        <v>6</v>
      </c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20"/>
      <c r="AB123" s="20"/>
      <c r="AC123" s="20"/>
      <c r="AD123" s="20"/>
      <c r="AE123" s="19"/>
      <c r="AF123" s="20"/>
      <c r="AG123" s="19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19">
        <f t="shared" si="12"/>
        <v>6</v>
      </c>
      <c r="BP123" s="35">
        <f t="shared" si="13"/>
        <v>0</v>
      </c>
      <c r="BQ123" s="19">
        <f t="shared" si="14"/>
        <v>6</v>
      </c>
      <c r="BR123" s="36">
        <f t="shared" si="11"/>
        <v>0</v>
      </c>
    </row>
    <row r="124" customHeight="1" spans="1:70">
      <c r="A124" s="14" t="s">
        <v>133</v>
      </c>
      <c r="B124" s="15" t="s">
        <v>17</v>
      </c>
      <c r="C124" s="16"/>
      <c r="D124" s="21">
        <v>14</v>
      </c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20"/>
      <c r="AB124" s="20"/>
      <c r="AC124" s="20"/>
      <c r="AD124" s="20"/>
      <c r="AE124" s="19"/>
      <c r="AF124" s="20"/>
      <c r="AG124" s="19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19">
        <f t="shared" si="12"/>
        <v>14</v>
      </c>
      <c r="BP124" s="35">
        <f t="shared" si="13"/>
        <v>0</v>
      </c>
      <c r="BQ124" s="19">
        <f t="shared" si="14"/>
        <v>14</v>
      </c>
      <c r="BR124" s="36">
        <f t="shared" si="11"/>
        <v>0</v>
      </c>
    </row>
    <row r="125" customHeight="1" spans="1:70">
      <c r="A125" s="14" t="s">
        <v>134</v>
      </c>
      <c r="B125" s="15" t="s">
        <v>17</v>
      </c>
      <c r="C125" s="16"/>
      <c r="D125" s="21">
        <v>18</v>
      </c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20"/>
      <c r="AB125" s="20"/>
      <c r="AC125" s="20"/>
      <c r="AD125" s="20"/>
      <c r="AE125" s="19"/>
      <c r="AF125" s="20"/>
      <c r="AG125" s="19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19">
        <f t="shared" si="12"/>
        <v>18</v>
      </c>
      <c r="BP125" s="35">
        <f t="shared" si="13"/>
        <v>0</v>
      </c>
      <c r="BQ125" s="19">
        <f t="shared" si="14"/>
        <v>18</v>
      </c>
      <c r="BR125" s="36">
        <f t="shared" si="11"/>
        <v>0</v>
      </c>
    </row>
    <row r="126" customHeight="1" spans="1:70">
      <c r="A126" s="14" t="s">
        <v>135</v>
      </c>
      <c r="B126" s="15" t="s">
        <v>17</v>
      </c>
      <c r="C126" s="16"/>
      <c r="D126" s="21"/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20"/>
      <c r="AB126" s="20"/>
      <c r="AC126" s="20"/>
      <c r="AD126" s="20"/>
      <c r="AE126" s="19"/>
      <c r="AF126" s="20"/>
      <c r="AG126" s="19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19">
        <f t="shared" si="12"/>
        <v>0</v>
      </c>
      <c r="BP126" s="35">
        <f t="shared" si="13"/>
        <v>0</v>
      </c>
      <c r="BQ126" s="19">
        <f t="shared" si="14"/>
        <v>0</v>
      </c>
      <c r="BR126" s="36">
        <f t="shared" si="11"/>
        <v>0</v>
      </c>
    </row>
    <row r="127" customHeight="1" spans="1:70">
      <c r="A127" s="14" t="s">
        <v>136</v>
      </c>
      <c r="B127" s="15" t="s">
        <v>17</v>
      </c>
      <c r="C127" s="16"/>
      <c r="D127" s="21">
        <v>5</v>
      </c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20"/>
      <c r="AB127" s="20"/>
      <c r="AC127" s="20"/>
      <c r="AD127" s="20"/>
      <c r="AE127" s="19"/>
      <c r="AF127" s="20"/>
      <c r="AG127" s="19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19">
        <f t="shared" si="12"/>
        <v>5</v>
      </c>
      <c r="BP127" s="35">
        <f t="shared" si="13"/>
        <v>0</v>
      </c>
      <c r="BQ127" s="19">
        <f t="shared" si="14"/>
        <v>5</v>
      </c>
      <c r="BR127" s="36">
        <f t="shared" si="11"/>
        <v>0</v>
      </c>
    </row>
    <row r="128" customHeight="1" spans="1:70">
      <c r="A128" s="14" t="s">
        <v>137</v>
      </c>
      <c r="B128" s="15" t="s">
        <v>138</v>
      </c>
      <c r="C128" s="16"/>
      <c r="D128" s="21">
        <v>1</v>
      </c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20"/>
      <c r="AB128" s="20"/>
      <c r="AC128" s="20"/>
      <c r="AD128" s="20"/>
      <c r="AE128" s="19"/>
      <c r="AF128" s="20"/>
      <c r="AG128" s="19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19">
        <f t="shared" si="12"/>
        <v>1</v>
      </c>
      <c r="BP128" s="35">
        <f t="shared" si="13"/>
        <v>0</v>
      </c>
      <c r="BQ128" s="19">
        <f t="shared" si="14"/>
        <v>1</v>
      </c>
      <c r="BR128" s="36">
        <f t="shared" si="11"/>
        <v>0</v>
      </c>
    </row>
    <row r="129" customHeight="1" spans="1:70">
      <c r="A129" s="14" t="s">
        <v>139</v>
      </c>
      <c r="B129" s="15" t="s">
        <v>17</v>
      </c>
      <c r="C129" s="16"/>
      <c r="D129" s="21"/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20"/>
      <c r="AB129" s="20"/>
      <c r="AC129" s="20"/>
      <c r="AD129" s="20"/>
      <c r="AE129" s="19"/>
      <c r="AF129" s="20"/>
      <c r="AG129" s="19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19">
        <f t="shared" si="12"/>
        <v>0</v>
      </c>
      <c r="BP129" s="35">
        <f t="shared" si="13"/>
        <v>0</v>
      </c>
      <c r="BQ129" s="19">
        <f t="shared" si="14"/>
        <v>0</v>
      </c>
      <c r="BR129" s="36">
        <f t="shared" si="11"/>
        <v>0</v>
      </c>
    </row>
    <row r="130" customHeight="1" spans="1:70">
      <c r="A130" s="14" t="s">
        <v>140</v>
      </c>
      <c r="B130" s="15" t="s">
        <v>29</v>
      </c>
      <c r="C130" s="16"/>
      <c r="D130" s="21">
        <v>2</v>
      </c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20"/>
      <c r="AB130" s="20"/>
      <c r="AC130" s="20"/>
      <c r="AD130" s="20"/>
      <c r="AE130" s="19"/>
      <c r="AF130" s="20"/>
      <c r="AG130" s="19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19">
        <f t="shared" si="12"/>
        <v>2</v>
      </c>
      <c r="BP130" s="35">
        <f t="shared" si="13"/>
        <v>0</v>
      </c>
      <c r="BQ130" s="19">
        <f t="shared" si="14"/>
        <v>2</v>
      </c>
      <c r="BR130" s="36">
        <f t="shared" si="11"/>
        <v>0</v>
      </c>
    </row>
    <row r="131" customHeight="1" spans="1:70">
      <c r="A131" s="14" t="s">
        <v>141</v>
      </c>
      <c r="B131" s="15" t="s">
        <v>129</v>
      </c>
      <c r="C131" s="16"/>
      <c r="D131" s="21">
        <v>1</v>
      </c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20"/>
      <c r="AB131" s="20"/>
      <c r="AC131" s="20"/>
      <c r="AD131" s="20"/>
      <c r="AE131" s="19"/>
      <c r="AF131" s="20"/>
      <c r="AG131" s="19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19">
        <f t="shared" si="12"/>
        <v>1</v>
      </c>
      <c r="BP131" s="35">
        <f t="shared" si="13"/>
        <v>0</v>
      </c>
      <c r="BQ131" s="19">
        <f t="shared" si="14"/>
        <v>1</v>
      </c>
      <c r="BR131" s="36">
        <f t="shared" si="11"/>
        <v>0</v>
      </c>
    </row>
    <row r="132" customHeight="1" spans="1:70">
      <c r="A132" s="14" t="s">
        <v>142</v>
      </c>
      <c r="B132" s="15" t="s">
        <v>129</v>
      </c>
      <c r="C132" s="16"/>
      <c r="D132" s="21">
        <v>0</v>
      </c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20"/>
      <c r="AB132" s="20"/>
      <c r="AC132" s="20"/>
      <c r="AD132" s="20"/>
      <c r="AE132" s="19"/>
      <c r="AF132" s="20"/>
      <c r="AG132" s="19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19">
        <f t="shared" si="12"/>
        <v>0</v>
      </c>
      <c r="BP132" s="35">
        <f t="shared" si="13"/>
        <v>0</v>
      </c>
      <c r="BQ132" s="19">
        <f t="shared" si="14"/>
        <v>0</v>
      </c>
      <c r="BR132" s="36">
        <f t="shared" si="11"/>
        <v>0</v>
      </c>
    </row>
    <row r="133" customHeight="1" spans="1:70">
      <c r="A133" s="14" t="s">
        <v>143</v>
      </c>
      <c r="B133" s="15" t="s">
        <v>129</v>
      </c>
      <c r="C133" s="16"/>
      <c r="D133" s="21">
        <v>6</v>
      </c>
      <c r="E133" s="18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20"/>
      <c r="AB133" s="20"/>
      <c r="AC133" s="20"/>
      <c r="AD133" s="20"/>
      <c r="AE133" s="19"/>
      <c r="AF133" s="20"/>
      <c r="AG133" s="19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19">
        <f t="shared" si="12"/>
        <v>6</v>
      </c>
      <c r="BP133" s="35">
        <f t="shared" si="13"/>
        <v>0</v>
      </c>
      <c r="BQ133" s="19">
        <f t="shared" si="14"/>
        <v>6</v>
      </c>
      <c r="BR133" s="36">
        <f t="shared" si="11"/>
        <v>0</v>
      </c>
    </row>
    <row r="134" customHeight="1" spans="1:70">
      <c r="A134" s="14" t="s">
        <v>144</v>
      </c>
      <c r="B134" s="15" t="s">
        <v>17</v>
      </c>
      <c r="C134" s="16"/>
      <c r="D134" s="21">
        <v>1</v>
      </c>
      <c r="E134" s="18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20"/>
      <c r="AB134" s="20"/>
      <c r="AC134" s="20"/>
      <c r="AD134" s="20"/>
      <c r="AE134" s="19"/>
      <c r="AF134" s="20"/>
      <c r="AG134" s="19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19">
        <f t="shared" si="12"/>
        <v>1</v>
      </c>
      <c r="BP134" s="35">
        <f t="shared" si="13"/>
        <v>0</v>
      </c>
      <c r="BQ134" s="19">
        <f t="shared" si="14"/>
        <v>1</v>
      </c>
      <c r="BR134" s="36">
        <f t="shared" si="11"/>
        <v>0</v>
      </c>
    </row>
    <row r="135" customHeight="1" spans="1:70">
      <c r="A135" s="14" t="s">
        <v>145</v>
      </c>
      <c r="B135" s="15" t="s">
        <v>17</v>
      </c>
      <c r="C135" s="16"/>
      <c r="D135" s="21">
        <v>3</v>
      </c>
      <c r="E135" s="18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20"/>
      <c r="AB135" s="20"/>
      <c r="AC135" s="20"/>
      <c r="AD135" s="20"/>
      <c r="AE135" s="19"/>
      <c r="AF135" s="20"/>
      <c r="AG135" s="19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19">
        <f t="shared" si="12"/>
        <v>3</v>
      </c>
      <c r="BP135" s="35">
        <f t="shared" si="13"/>
        <v>0</v>
      </c>
      <c r="BQ135" s="19">
        <f t="shared" si="14"/>
        <v>3</v>
      </c>
      <c r="BR135" s="36">
        <f t="shared" si="11"/>
        <v>0</v>
      </c>
    </row>
    <row r="136" customHeight="1" spans="1:70">
      <c r="A136" s="14" t="s">
        <v>146</v>
      </c>
      <c r="B136" s="15" t="s">
        <v>17</v>
      </c>
      <c r="C136" s="16"/>
      <c r="D136" s="21">
        <v>3</v>
      </c>
      <c r="E136" s="18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20"/>
      <c r="AB136" s="20"/>
      <c r="AC136" s="20"/>
      <c r="AD136" s="20"/>
      <c r="AE136" s="19"/>
      <c r="AF136" s="20"/>
      <c r="AG136" s="19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19">
        <f t="shared" si="12"/>
        <v>3</v>
      </c>
      <c r="BP136" s="35">
        <f t="shared" si="13"/>
        <v>0</v>
      </c>
      <c r="BQ136" s="19">
        <f t="shared" si="14"/>
        <v>3</v>
      </c>
      <c r="BR136" s="36">
        <f t="shared" si="11"/>
        <v>0</v>
      </c>
    </row>
    <row r="137" customHeight="1" spans="1:70">
      <c r="A137" s="14" t="s">
        <v>147</v>
      </c>
      <c r="B137" s="15" t="s">
        <v>29</v>
      </c>
      <c r="C137" s="16"/>
      <c r="D137" s="21">
        <v>20</v>
      </c>
      <c r="E137" s="18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20"/>
      <c r="AB137" s="20"/>
      <c r="AC137" s="20"/>
      <c r="AD137" s="20"/>
      <c r="AE137" s="19"/>
      <c r="AF137" s="20"/>
      <c r="AG137" s="19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19">
        <f t="shared" si="12"/>
        <v>20</v>
      </c>
      <c r="BP137" s="35">
        <f t="shared" si="13"/>
        <v>0</v>
      </c>
      <c r="BQ137" s="19">
        <f t="shared" si="14"/>
        <v>20</v>
      </c>
      <c r="BR137" s="36">
        <f t="shared" si="11"/>
        <v>0</v>
      </c>
    </row>
    <row r="138" customHeight="1" spans="1:70">
      <c r="A138" s="14" t="s">
        <v>148</v>
      </c>
      <c r="B138" s="15" t="s">
        <v>17</v>
      </c>
      <c r="C138" s="16"/>
      <c r="D138" s="21">
        <v>2</v>
      </c>
      <c r="E138" s="18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20"/>
      <c r="AB138" s="20"/>
      <c r="AC138" s="20"/>
      <c r="AD138" s="20"/>
      <c r="AE138" s="19"/>
      <c r="AF138" s="20"/>
      <c r="AG138" s="19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19">
        <f t="shared" si="12"/>
        <v>2</v>
      </c>
      <c r="BP138" s="35">
        <f t="shared" si="13"/>
        <v>0</v>
      </c>
      <c r="BQ138" s="19">
        <f t="shared" si="14"/>
        <v>2</v>
      </c>
      <c r="BR138" s="36">
        <f t="shared" si="11"/>
        <v>0</v>
      </c>
    </row>
    <row r="139" customHeight="1" spans="1:70">
      <c r="A139" s="14" t="s">
        <v>149</v>
      </c>
      <c r="B139" s="15" t="s">
        <v>17</v>
      </c>
      <c r="C139" s="16"/>
      <c r="D139" s="21">
        <v>3</v>
      </c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20"/>
      <c r="AB139" s="20"/>
      <c r="AC139" s="20"/>
      <c r="AD139" s="20"/>
      <c r="AE139" s="19"/>
      <c r="AF139" s="20"/>
      <c r="AG139" s="19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19">
        <f t="shared" si="12"/>
        <v>3</v>
      </c>
      <c r="BP139" s="35">
        <f t="shared" si="13"/>
        <v>0</v>
      </c>
      <c r="BQ139" s="19">
        <f t="shared" si="14"/>
        <v>3</v>
      </c>
      <c r="BR139" s="36">
        <f t="shared" si="11"/>
        <v>0</v>
      </c>
    </row>
    <row r="140" customHeight="1" spans="1:70">
      <c r="A140" s="14" t="s">
        <v>150</v>
      </c>
      <c r="B140" s="15" t="s">
        <v>17</v>
      </c>
      <c r="C140" s="16"/>
      <c r="D140" s="21">
        <v>7</v>
      </c>
      <c r="E140" s="1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20"/>
      <c r="AB140" s="20"/>
      <c r="AC140" s="20"/>
      <c r="AD140" s="20"/>
      <c r="AE140" s="19"/>
      <c r="AF140" s="20"/>
      <c r="AG140" s="19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19">
        <f t="shared" si="12"/>
        <v>7</v>
      </c>
      <c r="BP140" s="35">
        <f t="shared" si="13"/>
        <v>0</v>
      </c>
      <c r="BQ140" s="19">
        <f t="shared" si="14"/>
        <v>7</v>
      </c>
      <c r="BR140" s="36">
        <f t="shared" si="11"/>
        <v>0</v>
      </c>
    </row>
    <row r="141" customHeight="1" spans="1:70">
      <c r="A141" s="14" t="s">
        <v>151</v>
      </c>
      <c r="B141" s="15" t="s">
        <v>17</v>
      </c>
      <c r="C141" s="16"/>
      <c r="D141" s="21"/>
      <c r="E141" s="18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20"/>
      <c r="AB141" s="20"/>
      <c r="AC141" s="20"/>
      <c r="AD141" s="20"/>
      <c r="AE141" s="19"/>
      <c r="AF141" s="20"/>
      <c r="AG141" s="19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19">
        <f t="shared" si="12"/>
        <v>0</v>
      </c>
      <c r="BP141" s="35">
        <f t="shared" si="13"/>
        <v>0</v>
      </c>
      <c r="BQ141" s="19">
        <f t="shared" si="14"/>
        <v>0</v>
      </c>
      <c r="BR141" s="36">
        <f t="shared" si="11"/>
        <v>0</v>
      </c>
    </row>
    <row r="142" customHeight="1" spans="1:70">
      <c r="A142" s="14" t="s">
        <v>152</v>
      </c>
      <c r="B142" s="15" t="s">
        <v>17</v>
      </c>
      <c r="C142" s="16"/>
      <c r="D142" s="21">
        <v>3</v>
      </c>
      <c r="E142" s="18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20"/>
      <c r="AB142" s="20"/>
      <c r="AC142" s="20"/>
      <c r="AD142" s="20"/>
      <c r="AE142" s="19"/>
      <c r="AF142" s="20"/>
      <c r="AG142" s="19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19">
        <f t="shared" si="12"/>
        <v>3</v>
      </c>
      <c r="BP142" s="35">
        <f t="shared" si="13"/>
        <v>0</v>
      </c>
      <c r="BQ142" s="19">
        <f t="shared" si="14"/>
        <v>3</v>
      </c>
      <c r="BR142" s="36">
        <f t="shared" si="11"/>
        <v>0</v>
      </c>
    </row>
    <row r="143" customHeight="1" spans="1:70">
      <c r="A143" s="40" t="s">
        <v>153</v>
      </c>
      <c r="B143" s="41"/>
      <c r="C143" s="42"/>
      <c r="D143" s="42"/>
      <c r="E143" s="43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44"/>
      <c r="AB143" s="44"/>
      <c r="AC143" s="44"/>
      <c r="AD143" s="44"/>
      <c r="AE143" s="30"/>
      <c r="AF143" s="44"/>
      <c r="AG143" s="30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30">
        <f t="shared" si="12"/>
        <v>0</v>
      </c>
      <c r="BP143" s="30">
        <f t="shared" si="13"/>
        <v>0</v>
      </c>
      <c r="BQ143" s="30">
        <f t="shared" si="14"/>
        <v>0</v>
      </c>
      <c r="BR143" s="45"/>
    </row>
    <row r="144" customHeight="1" spans="1:70">
      <c r="A144" s="14" t="s">
        <v>154</v>
      </c>
      <c r="B144" s="21" t="s">
        <v>17</v>
      </c>
      <c r="C144" s="16"/>
      <c r="D144" s="21">
        <v>3</v>
      </c>
      <c r="E144" s="18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20"/>
      <c r="AB144" s="20"/>
      <c r="AC144" s="20"/>
      <c r="AD144" s="20"/>
      <c r="AE144" s="19"/>
      <c r="AF144" s="20"/>
      <c r="AG144" s="19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19">
        <f t="shared" si="12"/>
        <v>3</v>
      </c>
      <c r="BP144" s="35">
        <f t="shared" si="13"/>
        <v>0</v>
      </c>
      <c r="BQ144" s="19">
        <f t="shared" si="14"/>
        <v>3</v>
      </c>
      <c r="BR144" s="36">
        <f t="shared" ref="BR144:BR165" si="15">BQ144*C144</f>
        <v>0</v>
      </c>
    </row>
    <row r="145" customHeight="1" spans="1:70">
      <c r="A145" s="14" t="s">
        <v>155</v>
      </c>
      <c r="B145" s="15" t="s">
        <v>17</v>
      </c>
      <c r="C145" s="16"/>
      <c r="D145" s="21">
        <v>2</v>
      </c>
      <c r="E145" s="18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20"/>
      <c r="AB145" s="20"/>
      <c r="AC145" s="20"/>
      <c r="AD145" s="20"/>
      <c r="AE145" s="19"/>
      <c r="AF145" s="20"/>
      <c r="AG145" s="19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19">
        <f t="shared" si="12"/>
        <v>2</v>
      </c>
      <c r="BP145" s="35">
        <f t="shared" si="13"/>
        <v>0</v>
      </c>
      <c r="BQ145" s="19">
        <f t="shared" si="14"/>
        <v>2</v>
      </c>
      <c r="BR145" s="36">
        <f t="shared" si="15"/>
        <v>0</v>
      </c>
    </row>
    <row r="146" customHeight="1" spans="1:70">
      <c r="A146" s="14" t="s">
        <v>156</v>
      </c>
      <c r="B146" s="47" t="s">
        <v>17</v>
      </c>
      <c r="C146" s="16"/>
      <c r="D146" s="21">
        <v>1</v>
      </c>
      <c r="E146" s="18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20"/>
      <c r="AB146" s="20"/>
      <c r="AC146" s="20"/>
      <c r="AD146" s="20"/>
      <c r="AE146" s="19"/>
      <c r="AF146" s="20"/>
      <c r="AG146" s="19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19">
        <f t="shared" si="12"/>
        <v>1</v>
      </c>
      <c r="BP146" s="35">
        <f t="shared" si="13"/>
        <v>0</v>
      </c>
      <c r="BQ146" s="19">
        <f t="shared" si="14"/>
        <v>1</v>
      </c>
      <c r="BR146" s="36">
        <f t="shared" si="15"/>
        <v>0</v>
      </c>
    </row>
    <row r="147" customHeight="1" spans="1:70">
      <c r="A147" s="14" t="s">
        <v>157</v>
      </c>
      <c r="B147" s="15" t="s">
        <v>17</v>
      </c>
      <c r="C147" s="16"/>
      <c r="D147" s="21">
        <v>0</v>
      </c>
      <c r="E147" s="18"/>
      <c r="F147" s="19"/>
      <c r="G147" s="19"/>
      <c r="H147" s="19"/>
      <c r="I147" s="19"/>
      <c r="J147" s="48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20"/>
      <c r="AB147" s="20"/>
      <c r="AC147" s="20"/>
      <c r="AD147" s="20"/>
      <c r="AE147" s="19"/>
      <c r="AF147" s="20"/>
      <c r="AG147" s="19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19">
        <f t="shared" si="12"/>
        <v>0</v>
      </c>
      <c r="BP147" s="35">
        <f t="shared" si="13"/>
        <v>0</v>
      </c>
      <c r="BQ147" s="19">
        <f t="shared" si="14"/>
        <v>0</v>
      </c>
      <c r="BR147" s="36">
        <f t="shared" si="15"/>
        <v>0</v>
      </c>
    </row>
    <row r="148" customHeight="1" spans="1:70">
      <c r="A148" s="14" t="s">
        <v>158</v>
      </c>
      <c r="B148" s="15" t="s">
        <v>17</v>
      </c>
      <c r="C148" s="16"/>
      <c r="D148" s="21">
        <v>0</v>
      </c>
      <c r="E148" s="18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20"/>
      <c r="AB148" s="20"/>
      <c r="AC148" s="20"/>
      <c r="AD148" s="20"/>
      <c r="AE148" s="19"/>
      <c r="AF148" s="20"/>
      <c r="AG148" s="19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19">
        <f t="shared" si="12"/>
        <v>0</v>
      </c>
      <c r="BP148" s="35">
        <f t="shared" si="13"/>
        <v>0</v>
      </c>
      <c r="BQ148" s="19">
        <f t="shared" si="14"/>
        <v>0</v>
      </c>
      <c r="BR148" s="36">
        <f t="shared" si="15"/>
        <v>0</v>
      </c>
    </row>
    <row r="149" customHeight="1" spans="1:70">
      <c r="A149" s="14" t="s">
        <v>159</v>
      </c>
      <c r="B149" s="15" t="s">
        <v>17</v>
      </c>
      <c r="C149" s="16"/>
      <c r="D149" s="21">
        <v>1</v>
      </c>
      <c r="E149" s="18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20"/>
      <c r="AB149" s="20"/>
      <c r="AC149" s="20"/>
      <c r="AD149" s="20"/>
      <c r="AE149" s="19"/>
      <c r="AF149" s="20"/>
      <c r="AG149" s="19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19">
        <f t="shared" si="12"/>
        <v>1</v>
      </c>
      <c r="BP149" s="35">
        <f t="shared" si="13"/>
        <v>0</v>
      </c>
      <c r="BQ149" s="19">
        <f t="shared" si="14"/>
        <v>1</v>
      </c>
      <c r="BR149" s="36">
        <f t="shared" si="15"/>
        <v>0</v>
      </c>
    </row>
    <row r="150" customHeight="1" spans="1:70">
      <c r="A150" s="14" t="s">
        <v>160</v>
      </c>
      <c r="B150" s="15" t="s">
        <v>17</v>
      </c>
      <c r="C150" s="16"/>
      <c r="D150" s="21">
        <v>1</v>
      </c>
      <c r="E150" s="18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20"/>
      <c r="AB150" s="20"/>
      <c r="AC150" s="20"/>
      <c r="AD150" s="20"/>
      <c r="AE150" s="19"/>
      <c r="AF150" s="20"/>
      <c r="AG150" s="19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19">
        <f t="shared" si="12"/>
        <v>1</v>
      </c>
      <c r="BP150" s="35">
        <f t="shared" si="13"/>
        <v>0</v>
      </c>
      <c r="BQ150" s="19">
        <f t="shared" si="14"/>
        <v>1</v>
      </c>
      <c r="BR150" s="36">
        <f t="shared" si="15"/>
        <v>0</v>
      </c>
    </row>
    <row r="151" customHeight="1" spans="1:70">
      <c r="A151" s="14" t="s">
        <v>161</v>
      </c>
      <c r="B151" s="15" t="s">
        <v>138</v>
      </c>
      <c r="C151" s="16"/>
      <c r="D151" s="21">
        <v>3</v>
      </c>
      <c r="E151" s="18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20"/>
      <c r="AB151" s="20"/>
      <c r="AC151" s="20"/>
      <c r="AD151" s="20"/>
      <c r="AE151" s="19"/>
      <c r="AF151" s="20"/>
      <c r="AG151" s="19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19">
        <f t="shared" si="12"/>
        <v>3</v>
      </c>
      <c r="BP151" s="35">
        <f t="shared" si="13"/>
        <v>0</v>
      </c>
      <c r="BQ151" s="19">
        <f t="shared" si="14"/>
        <v>3</v>
      </c>
      <c r="BR151" s="36">
        <f t="shared" si="15"/>
        <v>0</v>
      </c>
    </row>
    <row r="152" customHeight="1" spans="1:70">
      <c r="A152" s="14" t="s">
        <v>162</v>
      </c>
      <c r="B152" s="15" t="s">
        <v>138</v>
      </c>
      <c r="C152" s="16"/>
      <c r="D152" s="21">
        <v>5</v>
      </c>
      <c r="E152" s="18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20"/>
      <c r="AB152" s="20"/>
      <c r="AC152" s="20"/>
      <c r="AD152" s="20"/>
      <c r="AE152" s="19"/>
      <c r="AF152" s="20"/>
      <c r="AG152" s="19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19">
        <f t="shared" si="12"/>
        <v>5</v>
      </c>
      <c r="BP152" s="35">
        <f t="shared" si="13"/>
        <v>0</v>
      </c>
      <c r="BQ152" s="19">
        <f t="shared" si="14"/>
        <v>5</v>
      </c>
      <c r="BR152" s="36">
        <f t="shared" si="15"/>
        <v>0</v>
      </c>
    </row>
    <row r="153" customHeight="1" spans="1:70">
      <c r="A153" s="14" t="s">
        <v>163</v>
      </c>
      <c r="B153" s="15" t="s">
        <v>138</v>
      </c>
      <c r="C153" s="16"/>
      <c r="D153" s="21">
        <v>5</v>
      </c>
      <c r="E153" s="18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20"/>
      <c r="AB153" s="20"/>
      <c r="AC153" s="20"/>
      <c r="AD153" s="20"/>
      <c r="AE153" s="19"/>
      <c r="AF153" s="20"/>
      <c r="AG153" s="19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19">
        <f t="shared" si="12"/>
        <v>5</v>
      </c>
      <c r="BP153" s="35">
        <f t="shared" si="13"/>
        <v>0</v>
      </c>
      <c r="BQ153" s="19">
        <f t="shared" si="14"/>
        <v>5</v>
      </c>
      <c r="BR153" s="36">
        <f t="shared" si="15"/>
        <v>0</v>
      </c>
    </row>
    <row r="154" customHeight="1" spans="1:70">
      <c r="A154" s="14" t="s">
        <v>164</v>
      </c>
      <c r="B154" s="15" t="s">
        <v>138</v>
      </c>
      <c r="C154" s="16"/>
      <c r="D154" s="21">
        <v>2</v>
      </c>
      <c r="E154" s="18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20"/>
      <c r="AB154" s="20"/>
      <c r="AC154" s="20"/>
      <c r="AD154" s="20"/>
      <c r="AE154" s="19"/>
      <c r="AF154" s="20"/>
      <c r="AG154" s="19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19">
        <f t="shared" si="12"/>
        <v>2</v>
      </c>
      <c r="BP154" s="35">
        <f t="shared" si="13"/>
        <v>0</v>
      </c>
      <c r="BQ154" s="19">
        <f t="shared" si="14"/>
        <v>2</v>
      </c>
      <c r="BR154" s="36">
        <f t="shared" si="15"/>
        <v>0</v>
      </c>
    </row>
    <row r="155" customHeight="1" spans="1:70">
      <c r="A155" s="14" t="s">
        <v>165</v>
      </c>
      <c r="B155" s="15" t="s">
        <v>138</v>
      </c>
      <c r="C155" s="49"/>
      <c r="D155" s="21">
        <v>2</v>
      </c>
      <c r="E155" s="18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20"/>
      <c r="AB155" s="20"/>
      <c r="AC155" s="20"/>
      <c r="AD155" s="20"/>
      <c r="AE155" s="19"/>
      <c r="AF155" s="20"/>
      <c r="AG155" s="19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19">
        <f t="shared" si="12"/>
        <v>2</v>
      </c>
      <c r="BP155" s="35">
        <f t="shared" si="13"/>
        <v>0</v>
      </c>
      <c r="BQ155" s="19">
        <f t="shared" si="14"/>
        <v>2</v>
      </c>
      <c r="BR155" s="36">
        <f t="shared" si="15"/>
        <v>0</v>
      </c>
    </row>
    <row r="156" customHeight="1" spans="1:70">
      <c r="A156" s="14" t="s">
        <v>166</v>
      </c>
      <c r="B156" s="15" t="s">
        <v>138</v>
      </c>
      <c r="C156" s="16"/>
      <c r="D156" s="21">
        <v>2</v>
      </c>
      <c r="E156" s="18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20"/>
      <c r="AB156" s="20"/>
      <c r="AC156" s="20"/>
      <c r="AD156" s="20"/>
      <c r="AE156" s="19"/>
      <c r="AF156" s="20"/>
      <c r="AG156" s="19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19">
        <f t="shared" si="12"/>
        <v>2</v>
      </c>
      <c r="BP156" s="35">
        <f t="shared" si="13"/>
        <v>0</v>
      </c>
      <c r="BQ156" s="19">
        <f t="shared" si="14"/>
        <v>2</v>
      </c>
      <c r="BR156" s="36">
        <f t="shared" si="15"/>
        <v>0</v>
      </c>
    </row>
    <row r="157" customHeight="1" spans="1:70">
      <c r="A157" s="14" t="s">
        <v>167</v>
      </c>
      <c r="B157" s="15" t="s">
        <v>138</v>
      </c>
      <c r="C157" s="16"/>
      <c r="D157" s="21">
        <v>2</v>
      </c>
      <c r="E157" s="18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20"/>
      <c r="AB157" s="20"/>
      <c r="AC157" s="20"/>
      <c r="AD157" s="20"/>
      <c r="AE157" s="19"/>
      <c r="AF157" s="20"/>
      <c r="AG157" s="19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19">
        <f t="shared" si="12"/>
        <v>2</v>
      </c>
      <c r="BP157" s="35">
        <f t="shared" si="13"/>
        <v>0</v>
      </c>
      <c r="BQ157" s="19">
        <f t="shared" si="14"/>
        <v>2</v>
      </c>
      <c r="BR157" s="36">
        <f t="shared" si="15"/>
        <v>0</v>
      </c>
    </row>
    <row r="158" customHeight="1" spans="1:70">
      <c r="A158" s="14" t="s">
        <v>168</v>
      </c>
      <c r="B158" s="15" t="s">
        <v>138</v>
      </c>
      <c r="C158" s="16"/>
      <c r="D158" s="21">
        <v>1</v>
      </c>
      <c r="E158" s="18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20"/>
      <c r="AB158" s="20"/>
      <c r="AC158" s="20"/>
      <c r="AD158" s="20"/>
      <c r="AE158" s="19"/>
      <c r="AF158" s="20"/>
      <c r="AG158" s="19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19">
        <f t="shared" si="12"/>
        <v>1</v>
      </c>
      <c r="BP158" s="35">
        <f t="shared" si="13"/>
        <v>0</v>
      </c>
      <c r="BQ158" s="19">
        <f t="shared" si="14"/>
        <v>1</v>
      </c>
      <c r="BR158" s="36">
        <f t="shared" si="15"/>
        <v>0</v>
      </c>
    </row>
    <row r="159" customHeight="1" spans="1:70">
      <c r="A159" s="14" t="s">
        <v>169</v>
      </c>
      <c r="B159" s="15" t="s">
        <v>138</v>
      </c>
      <c r="C159" s="16"/>
      <c r="D159" s="21">
        <v>2</v>
      </c>
      <c r="E159" s="18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20"/>
      <c r="AB159" s="20"/>
      <c r="AC159" s="20"/>
      <c r="AD159" s="20"/>
      <c r="AE159" s="19"/>
      <c r="AF159" s="20"/>
      <c r="AG159" s="19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19">
        <f t="shared" si="12"/>
        <v>2</v>
      </c>
      <c r="BP159" s="35">
        <f t="shared" si="13"/>
        <v>0</v>
      </c>
      <c r="BQ159" s="19">
        <f t="shared" si="14"/>
        <v>2</v>
      </c>
      <c r="BR159" s="36">
        <f t="shared" si="15"/>
        <v>0</v>
      </c>
    </row>
    <row r="160" customHeight="1" spans="1:70">
      <c r="A160" s="14" t="s">
        <v>170</v>
      </c>
      <c r="B160" s="15" t="s">
        <v>17</v>
      </c>
      <c r="C160" s="16"/>
      <c r="D160" s="21">
        <v>2</v>
      </c>
      <c r="E160" s="18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20"/>
      <c r="AB160" s="20"/>
      <c r="AC160" s="20"/>
      <c r="AD160" s="20"/>
      <c r="AE160" s="19"/>
      <c r="AF160" s="20"/>
      <c r="AG160" s="19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19">
        <f t="shared" si="12"/>
        <v>2</v>
      </c>
      <c r="BP160" s="35">
        <f t="shared" si="13"/>
        <v>0</v>
      </c>
      <c r="BQ160" s="19">
        <f t="shared" si="14"/>
        <v>2</v>
      </c>
      <c r="BR160" s="36">
        <f t="shared" si="15"/>
        <v>0</v>
      </c>
    </row>
    <row r="161" customHeight="1" spans="1:70">
      <c r="A161" s="14" t="s">
        <v>171</v>
      </c>
      <c r="B161" s="15" t="s">
        <v>17</v>
      </c>
      <c r="C161" s="16"/>
      <c r="D161" s="21">
        <v>2</v>
      </c>
      <c r="E161" s="18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20"/>
      <c r="AB161" s="20"/>
      <c r="AC161" s="20"/>
      <c r="AD161" s="20"/>
      <c r="AE161" s="19"/>
      <c r="AF161" s="20"/>
      <c r="AG161" s="19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19">
        <f t="shared" si="12"/>
        <v>2</v>
      </c>
      <c r="BP161" s="35">
        <f t="shared" si="13"/>
        <v>0</v>
      </c>
      <c r="BQ161" s="19">
        <f t="shared" si="14"/>
        <v>2</v>
      </c>
      <c r="BR161" s="36">
        <f t="shared" si="15"/>
        <v>0</v>
      </c>
    </row>
    <row r="162" customHeight="1" spans="1:70">
      <c r="A162" s="14" t="s">
        <v>172</v>
      </c>
      <c r="B162" s="15" t="s">
        <v>17</v>
      </c>
      <c r="C162" s="16"/>
      <c r="D162" s="21">
        <v>1</v>
      </c>
      <c r="E162" s="18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20"/>
      <c r="AB162" s="20"/>
      <c r="AC162" s="20"/>
      <c r="AD162" s="20"/>
      <c r="AE162" s="19"/>
      <c r="AF162" s="20"/>
      <c r="AG162" s="19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19">
        <f t="shared" si="12"/>
        <v>1</v>
      </c>
      <c r="BP162" s="35">
        <f t="shared" si="13"/>
        <v>0</v>
      </c>
      <c r="BQ162" s="19">
        <f t="shared" si="14"/>
        <v>1</v>
      </c>
      <c r="BR162" s="36">
        <f t="shared" si="15"/>
        <v>0</v>
      </c>
    </row>
    <row r="163" customHeight="1" spans="1:70">
      <c r="A163" s="14" t="s">
        <v>173</v>
      </c>
      <c r="B163" s="15" t="s">
        <v>17</v>
      </c>
      <c r="C163" s="16"/>
      <c r="D163" s="21">
        <v>1</v>
      </c>
      <c r="E163" s="18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20"/>
      <c r="AB163" s="20"/>
      <c r="AC163" s="20"/>
      <c r="AD163" s="20"/>
      <c r="AE163" s="19"/>
      <c r="AF163" s="20"/>
      <c r="AG163" s="19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19">
        <f t="shared" si="12"/>
        <v>1</v>
      </c>
      <c r="BP163" s="35">
        <f t="shared" si="13"/>
        <v>0</v>
      </c>
      <c r="BQ163" s="19">
        <f t="shared" si="14"/>
        <v>1</v>
      </c>
      <c r="BR163" s="36">
        <f t="shared" si="15"/>
        <v>0</v>
      </c>
    </row>
    <row r="164" customHeight="1" spans="1:70">
      <c r="A164" s="14" t="s">
        <v>174</v>
      </c>
      <c r="B164" s="15" t="s">
        <v>17</v>
      </c>
      <c r="C164" s="16"/>
      <c r="D164" s="21">
        <v>1</v>
      </c>
      <c r="E164" s="18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20"/>
      <c r="AB164" s="20"/>
      <c r="AC164" s="20"/>
      <c r="AD164" s="20"/>
      <c r="AE164" s="19"/>
      <c r="AF164" s="20"/>
      <c r="AG164" s="19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19">
        <f t="shared" si="12"/>
        <v>1</v>
      </c>
      <c r="BP164" s="35">
        <f t="shared" si="13"/>
        <v>0</v>
      </c>
      <c r="BQ164" s="19">
        <f t="shared" si="14"/>
        <v>1</v>
      </c>
      <c r="BR164" s="36">
        <f t="shared" si="15"/>
        <v>0</v>
      </c>
    </row>
    <row r="165" customHeight="1" spans="1:70">
      <c r="A165" s="14" t="s">
        <v>175</v>
      </c>
      <c r="B165" s="15" t="s">
        <v>17</v>
      </c>
      <c r="C165" s="16"/>
      <c r="D165" s="21">
        <v>0</v>
      </c>
      <c r="E165" s="18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20"/>
      <c r="AB165" s="20"/>
      <c r="AC165" s="20"/>
      <c r="AD165" s="20"/>
      <c r="AE165" s="19"/>
      <c r="AF165" s="20"/>
      <c r="AG165" s="19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19">
        <f t="shared" si="12"/>
        <v>0</v>
      </c>
      <c r="BP165" s="35">
        <f t="shared" si="13"/>
        <v>0</v>
      </c>
      <c r="BQ165" s="19">
        <f t="shared" si="14"/>
        <v>0</v>
      </c>
      <c r="BR165" s="36">
        <f t="shared" si="15"/>
        <v>0</v>
      </c>
    </row>
    <row r="166" customHeight="1" spans="1:70">
      <c r="A166" s="40" t="s">
        <v>176</v>
      </c>
      <c r="B166" s="41"/>
      <c r="C166" s="42"/>
      <c r="D166" s="42"/>
      <c r="E166" s="43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44"/>
      <c r="AB166" s="44"/>
      <c r="AC166" s="44"/>
      <c r="AD166" s="44"/>
      <c r="AE166" s="30"/>
      <c r="AF166" s="44"/>
      <c r="AG166" s="30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30">
        <f t="shared" si="12"/>
        <v>0</v>
      </c>
      <c r="BP166" s="30">
        <f t="shared" si="13"/>
        <v>0</v>
      </c>
      <c r="BQ166" s="30">
        <f t="shared" si="14"/>
        <v>0</v>
      </c>
      <c r="BR166" s="45"/>
    </row>
    <row r="167" customHeight="1" spans="1:70">
      <c r="A167" s="34" t="s">
        <v>177</v>
      </c>
      <c r="B167" s="15" t="s">
        <v>178</v>
      </c>
      <c r="C167" s="16"/>
      <c r="D167" s="21"/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20"/>
      <c r="AB167" s="20"/>
      <c r="AC167" s="20"/>
      <c r="AD167" s="20"/>
      <c r="AE167" s="19"/>
      <c r="AF167" s="20"/>
      <c r="AG167" s="19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19">
        <f t="shared" si="12"/>
        <v>0</v>
      </c>
      <c r="BP167" s="35">
        <f t="shared" si="13"/>
        <v>0</v>
      </c>
      <c r="BQ167" s="19">
        <f t="shared" si="14"/>
        <v>0</v>
      </c>
      <c r="BR167" s="36">
        <f t="shared" ref="BR167:BR177" si="16">BQ167*C167</f>
        <v>0</v>
      </c>
    </row>
    <row r="168" customHeight="1" spans="1:70">
      <c r="A168" s="14" t="s">
        <v>179</v>
      </c>
      <c r="B168" s="15" t="s">
        <v>180</v>
      </c>
      <c r="C168" s="16"/>
      <c r="D168" s="21"/>
      <c r="E168" s="18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20"/>
      <c r="AB168" s="20"/>
      <c r="AC168" s="20"/>
      <c r="AD168" s="20"/>
      <c r="AE168" s="19"/>
      <c r="AF168" s="20"/>
      <c r="AG168" s="19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19">
        <f t="shared" si="12"/>
        <v>0</v>
      </c>
      <c r="BP168" s="35">
        <f t="shared" si="13"/>
        <v>0</v>
      </c>
      <c r="BQ168" s="19">
        <f t="shared" si="14"/>
        <v>0</v>
      </c>
      <c r="BR168" s="36">
        <f t="shared" si="16"/>
        <v>0</v>
      </c>
    </row>
    <row r="169" customHeight="1" spans="1:70">
      <c r="A169" s="14" t="s">
        <v>181</v>
      </c>
      <c r="B169" s="15" t="s">
        <v>182</v>
      </c>
      <c r="C169" s="16"/>
      <c r="D169" s="21"/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20"/>
      <c r="AB169" s="20"/>
      <c r="AC169" s="20"/>
      <c r="AD169" s="20"/>
      <c r="AE169" s="19"/>
      <c r="AF169" s="20"/>
      <c r="AG169" s="19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19">
        <f t="shared" si="12"/>
        <v>0</v>
      </c>
      <c r="BP169" s="35">
        <f t="shared" si="13"/>
        <v>0</v>
      </c>
      <c r="BQ169" s="19">
        <f t="shared" si="14"/>
        <v>0</v>
      </c>
      <c r="BR169" s="36">
        <f t="shared" si="16"/>
        <v>0</v>
      </c>
    </row>
    <row r="170" customHeight="1" spans="1:70">
      <c r="A170" s="14" t="s">
        <v>183</v>
      </c>
      <c r="B170" s="15" t="s">
        <v>17</v>
      </c>
      <c r="C170" s="16"/>
      <c r="D170" s="21"/>
      <c r="E170" s="18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20"/>
      <c r="AB170" s="20"/>
      <c r="AC170" s="20"/>
      <c r="AD170" s="20"/>
      <c r="AE170" s="19"/>
      <c r="AF170" s="20"/>
      <c r="AG170" s="19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19">
        <f t="shared" si="12"/>
        <v>0</v>
      </c>
      <c r="BP170" s="35">
        <f t="shared" si="13"/>
        <v>0</v>
      </c>
      <c r="BQ170" s="19">
        <f t="shared" si="14"/>
        <v>0</v>
      </c>
      <c r="BR170" s="36">
        <f t="shared" si="16"/>
        <v>0</v>
      </c>
    </row>
    <row r="171" customHeight="1" spans="1:70">
      <c r="A171" s="14" t="s">
        <v>184</v>
      </c>
      <c r="B171" s="15" t="s">
        <v>138</v>
      </c>
      <c r="C171" s="16"/>
      <c r="D171" s="21">
        <v>1</v>
      </c>
      <c r="E171" s="18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20"/>
      <c r="AB171" s="20"/>
      <c r="AC171" s="20"/>
      <c r="AD171" s="20"/>
      <c r="AE171" s="19"/>
      <c r="AF171" s="20"/>
      <c r="AG171" s="19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19">
        <f t="shared" si="12"/>
        <v>1</v>
      </c>
      <c r="BP171" s="35">
        <f t="shared" si="13"/>
        <v>0</v>
      </c>
      <c r="BQ171" s="19">
        <f t="shared" si="14"/>
        <v>1</v>
      </c>
      <c r="BR171" s="36">
        <f t="shared" si="16"/>
        <v>0</v>
      </c>
    </row>
    <row r="172" customHeight="1" spans="1:70">
      <c r="A172" s="14" t="s">
        <v>185</v>
      </c>
      <c r="B172" s="15" t="s">
        <v>138</v>
      </c>
      <c r="C172" s="16"/>
      <c r="D172" s="21">
        <v>1</v>
      </c>
      <c r="E172" s="18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20"/>
      <c r="AB172" s="20"/>
      <c r="AC172" s="20"/>
      <c r="AD172" s="20"/>
      <c r="AE172" s="19"/>
      <c r="AF172" s="20"/>
      <c r="AG172" s="19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19">
        <f t="shared" si="12"/>
        <v>1</v>
      </c>
      <c r="BP172" s="35">
        <f t="shared" si="13"/>
        <v>0</v>
      </c>
      <c r="BQ172" s="19">
        <f t="shared" si="14"/>
        <v>1</v>
      </c>
      <c r="BR172" s="36">
        <f t="shared" si="16"/>
        <v>0</v>
      </c>
    </row>
    <row r="173" customHeight="1" spans="1:70">
      <c r="A173" s="14" t="s">
        <v>186</v>
      </c>
      <c r="B173" s="15" t="s">
        <v>29</v>
      </c>
      <c r="C173" s="16"/>
      <c r="D173" s="21">
        <v>1</v>
      </c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20"/>
      <c r="AB173" s="20"/>
      <c r="AC173" s="20"/>
      <c r="AD173" s="20"/>
      <c r="AE173" s="19"/>
      <c r="AF173" s="20"/>
      <c r="AG173" s="19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19">
        <f t="shared" si="12"/>
        <v>1</v>
      </c>
      <c r="BP173" s="35">
        <f t="shared" si="13"/>
        <v>0</v>
      </c>
      <c r="BQ173" s="19">
        <f t="shared" si="14"/>
        <v>1</v>
      </c>
      <c r="BR173" s="36">
        <f t="shared" si="16"/>
        <v>0</v>
      </c>
    </row>
    <row r="174" customHeight="1" spans="1:70">
      <c r="A174" s="14" t="s">
        <v>187</v>
      </c>
      <c r="B174" s="15" t="s">
        <v>17</v>
      </c>
      <c r="C174" s="16"/>
      <c r="D174" s="21">
        <v>0</v>
      </c>
      <c r="E174" s="18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20"/>
      <c r="AB174" s="20"/>
      <c r="AC174" s="20"/>
      <c r="AD174" s="20"/>
      <c r="AE174" s="19"/>
      <c r="AF174" s="20"/>
      <c r="AG174" s="19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19">
        <f t="shared" si="12"/>
        <v>0</v>
      </c>
      <c r="BP174" s="35">
        <f t="shared" si="13"/>
        <v>0</v>
      </c>
      <c r="BQ174" s="19">
        <f t="shared" si="14"/>
        <v>0</v>
      </c>
      <c r="BR174" s="36">
        <f t="shared" si="16"/>
        <v>0</v>
      </c>
    </row>
    <row r="175" customHeight="1" spans="1:70">
      <c r="A175" s="14" t="s">
        <v>188</v>
      </c>
      <c r="B175" s="15" t="s">
        <v>17</v>
      </c>
      <c r="C175" s="16"/>
      <c r="D175" s="21">
        <v>2</v>
      </c>
      <c r="E175" s="18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20"/>
      <c r="AB175" s="20"/>
      <c r="AC175" s="20"/>
      <c r="AD175" s="20"/>
      <c r="AE175" s="19"/>
      <c r="AF175" s="20"/>
      <c r="AG175" s="19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19">
        <f t="shared" si="12"/>
        <v>2</v>
      </c>
      <c r="BP175" s="35">
        <f t="shared" si="13"/>
        <v>0</v>
      </c>
      <c r="BQ175" s="19">
        <f t="shared" si="14"/>
        <v>2</v>
      </c>
      <c r="BR175" s="36">
        <f t="shared" si="16"/>
        <v>0</v>
      </c>
    </row>
    <row r="176" customHeight="1" spans="1:70">
      <c r="A176" s="14" t="s">
        <v>189</v>
      </c>
      <c r="B176" s="15" t="s">
        <v>178</v>
      </c>
      <c r="C176" s="16"/>
      <c r="D176" s="21">
        <v>0</v>
      </c>
      <c r="E176" s="18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20"/>
      <c r="AB176" s="20"/>
      <c r="AC176" s="20"/>
      <c r="AD176" s="20"/>
      <c r="AE176" s="19"/>
      <c r="AF176" s="20"/>
      <c r="AG176" s="19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19">
        <f t="shared" si="12"/>
        <v>0</v>
      </c>
      <c r="BP176" s="35">
        <f t="shared" si="13"/>
        <v>0</v>
      </c>
      <c r="BQ176" s="19">
        <f t="shared" si="14"/>
        <v>0</v>
      </c>
      <c r="BR176" s="36">
        <f t="shared" si="16"/>
        <v>0</v>
      </c>
    </row>
    <row r="177" customHeight="1" spans="1:70">
      <c r="A177" s="14" t="s">
        <v>190</v>
      </c>
      <c r="B177" s="15" t="s">
        <v>17</v>
      </c>
      <c r="C177" s="16"/>
      <c r="D177" s="21">
        <v>2</v>
      </c>
      <c r="E177" s="18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20"/>
      <c r="AB177" s="20"/>
      <c r="AC177" s="20"/>
      <c r="AD177" s="20"/>
      <c r="AE177" s="19"/>
      <c r="AF177" s="20"/>
      <c r="AG177" s="19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19">
        <f t="shared" si="12"/>
        <v>2</v>
      </c>
      <c r="BP177" s="35">
        <f t="shared" si="13"/>
        <v>0</v>
      </c>
      <c r="BQ177" s="19">
        <f t="shared" si="14"/>
        <v>2</v>
      </c>
      <c r="BR177" s="36">
        <f t="shared" si="16"/>
        <v>0</v>
      </c>
    </row>
    <row r="178" ht="11" customHeight="1" spans="1:70">
      <c r="BO178">
        <f t="shared" si="12"/>
        <v>0</v>
      </c>
      <c r="BP178">
        <f t="shared" si="13"/>
        <v>0</v>
      </c>
      <c r="BQ178">
        <f t="shared" si="14"/>
        <v>0</v>
      </c>
    </row>
    <row r="179" spans="1:70">
      <c r="BO179">
        <f t="shared" si="12"/>
        <v>0</v>
      </c>
      <c r="BP179">
        <f t="shared" si="13"/>
        <v>0</v>
      </c>
      <c r="BQ179">
        <f t="shared" si="14"/>
        <v>0</v>
      </c>
    </row>
    <row r="180" spans="1:70">
      <c r="BO180">
        <f t="shared" si="12"/>
        <v>0</v>
      </c>
      <c r="BP180">
        <f t="shared" si="13"/>
        <v>0</v>
      </c>
      <c r="BQ180">
        <f t="shared" si="14"/>
        <v>0</v>
      </c>
    </row>
    <row r="181" spans="1:70">
      <c r="BO181">
        <f t="shared" si="12"/>
        <v>0</v>
      </c>
      <c r="BP181">
        <f t="shared" si="13"/>
        <v>0</v>
      </c>
      <c r="BQ181">
        <f t="shared" si="14"/>
        <v>0</v>
      </c>
    </row>
    <row r="182" spans="1:70">
      <c r="BO182">
        <f t="shared" si="12"/>
        <v>0</v>
      </c>
      <c r="BP182">
        <f t="shared" si="13"/>
        <v>0</v>
      </c>
      <c r="BQ182">
        <f t="shared" si="14"/>
        <v>0</v>
      </c>
    </row>
    <row r="183" spans="1:70">
      <c r="BO183">
        <f t="shared" si="12"/>
        <v>0</v>
      </c>
      <c r="BP183">
        <f t="shared" si="13"/>
        <v>0</v>
      </c>
      <c r="BQ183">
        <f t="shared" si="14"/>
        <v>0</v>
      </c>
    </row>
    <row r="184" spans="1:70">
      <c r="BO184">
        <f t="shared" si="12"/>
        <v>0</v>
      </c>
      <c r="BP184">
        <f t="shared" si="13"/>
        <v>0</v>
      </c>
      <c r="BQ184">
        <f t="shared" si="14"/>
        <v>0</v>
      </c>
    </row>
    <row r="185" spans="1:70">
      <c r="BO185">
        <f t="shared" ref="BO185:BO248" si="17">SUM(D185,E185,G185,I185,K185,M185,O185,Q185,S185,U185,Y185,AA185,AC185,AE185,AG185,AI185,AK185,AM185,AO185,AQ185,AS185,AU185,AW185,AY185,BA185,BC185,BE185,BG185,BI185,BK185,BM185)</f>
        <v>0</v>
      </c>
      <c r="BP185">
        <f t="shared" ref="BP185:BP248" si="18">SUM(F185,H185,J185,L185,N185,P185,R185,T185,V185,X185,Z185,AB185,AD185,AF185,AH185,AJ185,AL185,AN185,AP185,AR185,AT185,AV185,AX185,AZ185,BB185,BD185,BF185,BH185,BJ185,BL185,BN185)</f>
        <v>0</v>
      </c>
      <c r="BQ185">
        <f t="shared" ref="BQ185:BQ248" si="19">BO185-BP185</f>
        <v>0</v>
      </c>
    </row>
    <row r="186" spans="1:70">
      <c r="BO186">
        <f t="shared" si="17"/>
        <v>0</v>
      </c>
      <c r="BP186">
        <f t="shared" si="18"/>
        <v>0</v>
      </c>
      <c r="BQ186">
        <f t="shared" si="19"/>
        <v>0</v>
      </c>
    </row>
    <row r="187" spans="1:70">
      <c r="BO187">
        <f t="shared" si="17"/>
        <v>0</v>
      </c>
      <c r="BP187">
        <f t="shared" si="18"/>
        <v>0</v>
      </c>
      <c r="BQ187">
        <f t="shared" si="19"/>
        <v>0</v>
      </c>
    </row>
    <row r="188" spans="1:70">
      <c r="BO188">
        <f t="shared" si="17"/>
        <v>0</v>
      </c>
      <c r="BP188">
        <f t="shared" si="18"/>
        <v>0</v>
      </c>
      <c r="BQ188">
        <f t="shared" si="19"/>
        <v>0</v>
      </c>
    </row>
    <row r="189" spans="1:70">
      <c r="BO189">
        <f t="shared" si="17"/>
        <v>0</v>
      </c>
      <c r="BP189">
        <f t="shared" si="18"/>
        <v>0</v>
      </c>
      <c r="BQ189">
        <f t="shared" si="19"/>
        <v>0</v>
      </c>
    </row>
    <row r="190" spans="1:70">
      <c r="BO190">
        <f t="shared" si="17"/>
        <v>0</v>
      </c>
      <c r="BP190">
        <f t="shared" si="18"/>
        <v>0</v>
      </c>
      <c r="BQ190">
        <f t="shared" si="19"/>
        <v>0</v>
      </c>
    </row>
    <row r="191" spans="1:70">
      <c r="BO191">
        <f t="shared" si="17"/>
        <v>0</v>
      </c>
      <c r="BP191">
        <f t="shared" si="18"/>
        <v>0</v>
      </c>
      <c r="BQ191">
        <f t="shared" si="19"/>
        <v>0</v>
      </c>
    </row>
    <row r="192" spans="1:70">
      <c r="BO192">
        <f t="shared" si="17"/>
        <v>0</v>
      </c>
      <c r="BP192">
        <f t="shared" si="18"/>
        <v>0</v>
      </c>
      <c r="BQ192">
        <f t="shared" si="19"/>
        <v>0</v>
      </c>
    </row>
    <row r="193" spans="67:69">
      <c r="BO193">
        <f t="shared" si="17"/>
        <v>0</v>
      </c>
      <c r="BP193">
        <f t="shared" si="18"/>
        <v>0</v>
      </c>
      <c r="BQ193">
        <f t="shared" si="19"/>
        <v>0</v>
      </c>
    </row>
    <row r="194" spans="67:69">
      <c r="BO194">
        <f t="shared" si="17"/>
        <v>0</v>
      </c>
      <c r="BP194">
        <f t="shared" si="18"/>
        <v>0</v>
      </c>
      <c r="BQ194">
        <f t="shared" si="19"/>
        <v>0</v>
      </c>
    </row>
    <row r="195" spans="67:69">
      <c r="BO195">
        <f t="shared" si="17"/>
        <v>0</v>
      </c>
      <c r="BP195">
        <f t="shared" si="18"/>
        <v>0</v>
      </c>
      <c r="BQ195">
        <f t="shared" si="19"/>
        <v>0</v>
      </c>
    </row>
    <row r="196" spans="67:69">
      <c r="BO196">
        <f t="shared" si="17"/>
        <v>0</v>
      </c>
      <c r="BP196">
        <f t="shared" si="18"/>
        <v>0</v>
      </c>
      <c r="BQ196">
        <f t="shared" si="19"/>
        <v>0</v>
      </c>
    </row>
    <row r="197" spans="67:69">
      <c r="BO197">
        <f t="shared" si="17"/>
        <v>0</v>
      </c>
      <c r="BP197">
        <f t="shared" si="18"/>
        <v>0</v>
      </c>
      <c r="BQ197">
        <f t="shared" si="19"/>
        <v>0</v>
      </c>
    </row>
    <row r="198" spans="67:69">
      <c r="BO198">
        <f t="shared" si="17"/>
        <v>0</v>
      </c>
      <c r="BP198">
        <f t="shared" si="18"/>
        <v>0</v>
      </c>
      <c r="BQ198">
        <f t="shared" si="19"/>
        <v>0</v>
      </c>
    </row>
    <row r="199" spans="67:69">
      <c r="BO199">
        <f t="shared" si="17"/>
        <v>0</v>
      </c>
      <c r="BP199">
        <f t="shared" si="18"/>
        <v>0</v>
      </c>
      <c r="BQ199">
        <f t="shared" si="19"/>
        <v>0</v>
      </c>
    </row>
    <row r="200" spans="67:69">
      <c r="BO200">
        <f t="shared" si="17"/>
        <v>0</v>
      </c>
      <c r="BP200">
        <f t="shared" si="18"/>
        <v>0</v>
      </c>
      <c r="BQ200">
        <f t="shared" si="19"/>
        <v>0</v>
      </c>
    </row>
    <row r="201" spans="67:69">
      <c r="BO201">
        <f t="shared" si="17"/>
        <v>0</v>
      </c>
      <c r="BP201">
        <f t="shared" si="18"/>
        <v>0</v>
      </c>
      <c r="BQ201">
        <f t="shared" si="19"/>
        <v>0</v>
      </c>
    </row>
    <row r="202" spans="67:69">
      <c r="BO202">
        <f t="shared" si="17"/>
        <v>0</v>
      </c>
      <c r="BP202">
        <f t="shared" si="18"/>
        <v>0</v>
      </c>
      <c r="BQ202">
        <f t="shared" si="19"/>
        <v>0</v>
      </c>
    </row>
    <row r="203" spans="67:69">
      <c r="BO203">
        <f t="shared" si="17"/>
        <v>0</v>
      </c>
      <c r="BP203">
        <f t="shared" si="18"/>
        <v>0</v>
      </c>
      <c r="BQ203">
        <f t="shared" si="19"/>
        <v>0</v>
      </c>
    </row>
    <row r="204" spans="67:69">
      <c r="BO204">
        <f t="shared" si="17"/>
        <v>0</v>
      </c>
      <c r="BP204">
        <f t="shared" si="18"/>
        <v>0</v>
      </c>
      <c r="BQ204">
        <f t="shared" si="19"/>
        <v>0</v>
      </c>
    </row>
    <row r="205" spans="67:69">
      <c r="BO205">
        <f t="shared" si="17"/>
        <v>0</v>
      </c>
      <c r="BP205">
        <f t="shared" si="18"/>
        <v>0</v>
      </c>
      <c r="BQ205">
        <f t="shared" si="19"/>
        <v>0</v>
      </c>
    </row>
    <row r="206" spans="67:69">
      <c r="BO206">
        <f t="shared" si="17"/>
        <v>0</v>
      </c>
      <c r="BP206">
        <f t="shared" si="18"/>
        <v>0</v>
      </c>
      <c r="BQ206">
        <f t="shared" si="19"/>
        <v>0</v>
      </c>
    </row>
    <row r="207" spans="67:69">
      <c r="BO207">
        <f t="shared" si="17"/>
        <v>0</v>
      </c>
      <c r="BP207">
        <f t="shared" si="18"/>
        <v>0</v>
      </c>
      <c r="BQ207">
        <f t="shared" si="19"/>
        <v>0</v>
      </c>
    </row>
    <row r="208" spans="67:69">
      <c r="BO208">
        <f t="shared" si="17"/>
        <v>0</v>
      </c>
      <c r="BP208">
        <f t="shared" si="18"/>
        <v>0</v>
      </c>
      <c r="BQ208">
        <f t="shared" si="19"/>
        <v>0</v>
      </c>
    </row>
    <row r="209" spans="67:69">
      <c r="BO209">
        <f t="shared" si="17"/>
        <v>0</v>
      </c>
      <c r="BP209">
        <f t="shared" si="18"/>
        <v>0</v>
      </c>
      <c r="BQ209">
        <f t="shared" si="19"/>
        <v>0</v>
      </c>
    </row>
    <row r="210" spans="67:69">
      <c r="BO210">
        <f t="shared" si="17"/>
        <v>0</v>
      </c>
      <c r="BP210">
        <f t="shared" si="18"/>
        <v>0</v>
      </c>
      <c r="BQ210">
        <f t="shared" si="19"/>
        <v>0</v>
      </c>
    </row>
    <row r="211" spans="67:69">
      <c r="BO211">
        <f t="shared" si="17"/>
        <v>0</v>
      </c>
      <c r="BP211">
        <f t="shared" si="18"/>
        <v>0</v>
      </c>
      <c r="BQ211">
        <f t="shared" si="19"/>
        <v>0</v>
      </c>
    </row>
    <row r="212" spans="67:69">
      <c r="BO212">
        <f t="shared" si="17"/>
        <v>0</v>
      </c>
      <c r="BP212">
        <f t="shared" si="18"/>
        <v>0</v>
      </c>
      <c r="BQ212">
        <f t="shared" si="19"/>
        <v>0</v>
      </c>
    </row>
    <row r="213" spans="67:69">
      <c r="BO213">
        <f t="shared" si="17"/>
        <v>0</v>
      </c>
      <c r="BP213">
        <f t="shared" si="18"/>
        <v>0</v>
      </c>
      <c r="BQ213">
        <f t="shared" si="19"/>
        <v>0</v>
      </c>
    </row>
    <row r="214" spans="67:69">
      <c r="BO214">
        <f t="shared" si="17"/>
        <v>0</v>
      </c>
      <c r="BP214">
        <f t="shared" si="18"/>
        <v>0</v>
      </c>
      <c r="BQ214">
        <f t="shared" si="19"/>
        <v>0</v>
      </c>
    </row>
    <row r="215" spans="67:69">
      <c r="BO215">
        <f t="shared" si="17"/>
        <v>0</v>
      </c>
      <c r="BP215">
        <f t="shared" si="18"/>
        <v>0</v>
      </c>
      <c r="BQ215">
        <f t="shared" si="19"/>
        <v>0</v>
      </c>
    </row>
    <row r="216" spans="67:69">
      <c r="BO216">
        <f t="shared" si="17"/>
        <v>0</v>
      </c>
      <c r="BP216">
        <f t="shared" si="18"/>
        <v>0</v>
      </c>
      <c r="BQ216">
        <f t="shared" si="19"/>
        <v>0</v>
      </c>
    </row>
    <row r="217" spans="67:69">
      <c r="BO217">
        <f t="shared" si="17"/>
        <v>0</v>
      </c>
      <c r="BP217">
        <f t="shared" si="18"/>
        <v>0</v>
      </c>
      <c r="BQ217">
        <f t="shared" si="19"/>
        <v>0</v>
      </c>
    </row>
    <row r="218" spans="67:69">
      <c r="BO218">
        <f t="shared" si="17"/>
        <v>0</v>
      </c>
      <c r="BP218">
        <f t="shared" si="18"/>
        <v>0</v>
      </c>
      <c r="BQ218">
        <f t="shared" si="19"/>
        <v>0</v>
      </c>
    </row>
    <row r="219" spans="67:69">
      <c r="BO219">
        <f t="shared" si="17"/>
        <v>0</v>
      </c>
      <c r="BP219">
        <f t="shared" si="18"/>
        <v>0</v>
      </c>
      <c r="BQ219">
        <f t="shared" si="19"/>
        <v>0</v>
      </c>
    </row>
    <row r="220" spans="67:69">
      <c r="BO220">
        <f t="shared" si="17"/>
        <v>0</v>
      </c>
      <c r="BP220">
        <f t="shared" si="18"/>
        <v>0</v>
      </c>
      <c r="BQ220">
        <f t="shared" si="19"/>
        <v>0</v>
      </c>
    </row>
    <row r="221" spans="67:69">
      <c r="BO221">
        <f t="shared" si="17"/>
        <v>0</v>
      </c>
      <c r="BP221">
        <f t="shared" si="18"/>
        <v>0</v>
      </c>
      <c r="BQ221">
        <f t="shared" si="19"/>
        <v>0</v>
      </c>
    </row>
    <row r="222" spans="67:69">
      <c r="BO222">
        <f t="shared" si="17"/>
        <v>0</v>
      </c>
      <c r="BP222">
        <f t="shared" si="18"/>
        <v>0</v>
      </c>
      <c r="BQ222">
        <f t="shared" si="19"/>
        <v>0</v>
      </c>
    </row>
    <row r="223" spans="67:69">
      <c r="BO223">
        <f t="shared" si="17"/>
        <v>0</v>
      </c>
      <c r="BP223">
        <f t="shared" si="18"/>
        <v>0</v>
      </c>
      <c r="BQ223">
        <f t="shared" si="19"/>
        <v>0</v>
      </c>
    </row>
    <row r="224" spans="67:69">
      <c r="BO224">
        <f t="shared" si="17"/>
        <v>0</v>
      </c>
      <c r="BP224">
        <f t="shared" si="18"/>
        <v>0</v>
      </c>
      <c r="BQ224">
        <f t="shared" si="19"/>
        <v>0</v>
      </c>
    </row>
    <row r="225" spans="67:69">
      <c r="BO225">
        <f t="shared" si="17"/>
        <v>0</v>
      </c>
      <c r="BP225">
        <f t="shared" si="18"/>
        <v>0</v>
      </c>
      <c r="BQ225">
        <f t="shared" si="19"/>
        <v>0</v>
      </c>
    </row>
    <row r="226" spans="67:69">
      <c r="BO226">
        <f t="shared" si="17"/>
        <v>0</v>
      </c>
      <c r="BP226">
        <f t="shared" si="18"/>
        <v>0</v>
      </c>
      <c r="BQ226">
        <f t="shared" si="19"/>
        <v>0</v>
      </c>
    </row>
    <row r="227" spans="67:69">
      <c r="BO227">
        <f t="shared" si="17"/>
        <v>0</v>
      </c>
      <c r="BP227">
        <f t="shared" si="18"/>
        <v>0</v>
      </c>
      <c r="BQ227">
        <f t="shared" si="19"/>
        <v>0</v>
      </c>
    </row>
    <row r="228" spans="67:69">
      <c r="BO228">
        <f t="shared" si="17"/>
        <v>0</v>
      </c>
      <c r="BP228">
        <f t="shared" si="18"/>
        <v>0</v>
      </c>
      <c r="BQ228">
        <f t="shared" si="19"/>
        <v>0</v>
      </c>
    </row>
    <row r="229" spans="67:69">
      <c r="BO229">
        <f t="shared" si="17"/>
        <v>0</v>
      </c>
      <c r="BP229">
        <f t="shared" si="18"/>
        <v>0</v>
      </c>
      <c r="BQ229">
        <f t="shared" si="19"/>
        <v>0</v>
      </c>
    </row>
    <row r="230" spans="67:69">
      <c r="BO230">
        <f t="shared" si="17"/>
        <v>0</v>
      </c>
      <c r="BP230">
        <f t="shared" si="18"/>
        <v>0</v>
      </c>
      <c r="BQ230">
        <f t="shared" si="19"/>
        <v>0</v>
      </c>
    </row>
    <row r="231" spans="67:69">
      <c r="BO231">
        <f t="shared" si="17"/>
        <v>0</v>
      </c>
      <c r="BP231">
        <f t="shared" si="18"/>
        <v>0</v>
      </c>
      <c r="BQ231">
        <f t="shared" si="19"/>
        <v>0</v>
      </c>
    </row>
    <row r="232" spans="67:69">
      <c r="BO232">
        <f t="shared" si="17"/>
        <v>0</v>
      </c>
      <c r="BP232">
        <f t="shared" si="18"/>
        <v>0</v>
      </c>
      <c r="BQ232">
        <f t="shared" si="19"/>
        <v>0</v>
      </c>
    </row>
    <row r="233" spans="67:69">
      <c r="BO233">
        <f t="shared" si="17"/>
        <v>0</v>
      </c>
      <c r="BP233">
        <f t="shared" si="18"/>
        <v>0</v>
      </c>
      <c r="BQ233">
        <f t="shared" si="19"/>
        <v>0</v>
      </c>
    </row>
    <row r="234" spans="67:69">
      <c r="BO234">
        <f t="shared" si="17"/>
        <v>0</v>
      </c>
      <c r="BP234">
        <f t="shared" si="18"/>
        <v>0</v>
      </c>
      <c r="BQ234">
        <f t="shared" si="19"/>
        <v>0</v>
      </c>
    </row>
    <row r="235" spans="67:69">
      <c r="BO235">
        <f t="shared" si="17"/>
        <v>0</v>
      </c>
      <c r="BP235">
        <f t="shared" si="18"/>
        <v>0</v>
      </c>
      <c r="BQ235">
        <f t="shared" si="19"/>
        <v>0</v>
      </c>
    </row>
    <row r="236" spans="67:69">
      <c r="BO236">
        <f t="shared" si="17"/>
        <v>0</v>
      </c>
      <c r="BP236">
        <f t="shared" si="18"/>
        <v>0</v>
      </c>
      <c r="BQ236">
        <f t="shared" si="19"/>
        <v>0</v>
      </c>
    </row>
    <row r="237" spans="67:69">
      <c r="BO237">
        <f t="shared" si="17"/>
        <v>0</v>
      </c>
      <c r="BP237">
        <f t="shared" si="18"/>
        <v>0</v>
      </c>
      <c r="BQ237">
        <f t="shared" si="19"/>
        <v>0</v>
      </c>
    </row>
    <row r="238" spans="67:69">
      <c r="BO238">
        <f t="shared" si="17"/>
        <v>0</v>
      </c>
      <c r="BP238">
        <f t="shared" si="18"/>
        <v>0</v>
      </c>
      <c r="BQ238">
        <f t="shared" si="19"/>
        <v>0</v>
      </c>
    </row>
    <row r="239" spans="67:69">
      <c r="BO239">
        <f t="shared" si="17"/>
        <v>0</v>
      </c>
      <c r="BP239">
        <f t="shared" si="18"/>
        <v>0</v>
      </c>
      <c r="BQ239">
        <f t="shared" si="19"/>
        <v>0</v>
      </c>
    </row>
    <row r="240" spans="67:69">
      <c r="BO240">
        <f t="shared" si="17"/>
        <v>0</v>
      </c>
      <c r="BP240">
        <f t="shared" si="18"/>
        <v>0</v>
      </c>
      <c r="BQ240">
        <f t="shared" si="19"/>
        <v>0</v>
      </c>
    </row>
    <row r="241" spans="67:69">
      <c r="BO241">
        <f t="shared" si="17"/>
        <v>0</v>
      </c>
      <c r="BP241">
        <f t="shared" si="18"/>
        <v>0</v>
      </c>
      <c r="BQ241">
        <f t="shared" si="19"/>
        <v>0</v>
      </c>
    </row>
    <row r="242" spans="67:69">
      <c r="BO242">
        <f t="shared" si="17"/>
        <v>0</v>
      </c>
      <c r="BP242">
        <f t="shared" si="18"/>
        <v>0</v>
      </c>
      <c r="BQ242">
        <f t="shared" si="19"/>
        <v>0</v>
      </c>
    </row>
    <row r="243" spans="67:69">
      <c r="BO243">
        <f t="shared" si="17"/>
        <v>0</v>
      </c>
      <c r="BP243">
        <f t="shared" si="18"/>
        <v>0</v>
      </c>
      <c r="BQ243">
        <f t="shared" si="19"/>
        <v>0</v>
      </c>
    </row>
    <row r="244" spans="67:69">
      <c r="BO244">
        <f t="shared" si="17"/>
        <v>0</v>
      </c>
      <c r="BP244">
        <f t="shared" si="18"/>
        <v>0</v>
      </c>
      <c r="BQ244">
        <f t="shared" si="19"/>
        <v>0</v>
      </c>
    </row>
    <row r="245" spans="67:69">
      <c r="BO245">
        <f t="shared" si="17"/>
        <v>0</v>
      </c>
      <c r="BP245">
        <f t="shared" si="18"/>
        <v>0</v>
      </c>
      <c r="BQ245">
        <f t="shared" si="19"/>
        <v>0</v>
      </c>
    </row>
    <row r="246" spans="67:69">
      <c r="BO246">
        <f t="shared" si="17"/>
        <v>0</v>
      </c>
      <c r="BP246">
        <f t="shared" si="18"/>
        <v>0</v>
      </c>
      <c r="BQ246">
        <f t="shared" si="19"/>
        <v>0</v>
      </c>
    </row>
    <row r="247" spans="67:69">
      <c r="BO247">
        <f t="shared" si="17"/>
        <v>0</v>
      </c>
      <c r="BP247">
        <f t="shared" si="18"/>
        <v>0</v>
      </c>
      <c r="BQ247">
        <f t="shared" si="19"/>
        <v>0</v>
      </c>
    </row>
    <row r="248" spans="67:69">
      <c r="BO248">
        <f t="shared" si="17"/>
        <v>0</v>
      </c>
      <c r="BP248">
        <f t="shared" si="18"/>
        <v>0</v>
      </c>
      <c r="BQ248">
        <f t="shared" si="19"/>
        <v>0</v>
      </c>
    </row>
    <row r="249" spans="67:69">
      <c r="BO249">
        <f t="shared" ref="BO249:BO312" si="20">SUM(D249,E249,G249,I249,K249,M249,O249,Q249,S249,U249,Y249,AA249,AC249,AE249,AG249,AI249,AK249,AM249,AO249,AQ249,AS249,AU249,AW249,AY249,BA249,BC249,BE249,BG249,BI249,BK249,BM249)</f>
        <v>0</v>
      </c>
      <c r="BP249">
        <f t="shared" ref="BP249:BP312" si="21">SUM(F249,H249,J249,L249,N249,P249,R249,T249,V249,X249,Z249,AB249,AD249,AF249,AH249,AJ249,AL249,AN249,AP249,AR249,AT249,AV249,AX249,AZ249,BB249,BD249,BF249,BH249,BJ249,BL249,BN249)</f>
        <v>0</v>
      </c>
      <c r="BQ249">
        <f t="shared" ref="BQ249:BQ312" si="22">BO249-BP249</f>
        <v>0</v>
      </c>
    </row>
    <row r="250" spans="67:69">
      <c r="BO250">
        <f t="shared" si="20"/>
        <v>0</v>
      </c>
      <c r="BP250">
        <f t="shared" si="21"/>
        <v>0</v>
      </c>
      <c r="BQ250">
        <f t="shared" si="22"/>
        <v>0</v>
      </c>
    </row>
    <row r="251" spans="67:69">
      <c r="BO251">
        <f t="shared" si="20"/>
        <v>0</v>
      </c>
      <c r="BP251">
        <f t="shared" si="21"/>
        <v>0</v>
      </c>
      <c r="BQ251">
        <f t="shared" si="22"/>
        <v>0</v>
      </c>
    </row>
    <row r="252" spans="67:69">
      <c r="BO252">
        <f t="shared" si="20"/>
        <v>0</v>
      </c>
      <c r="BP252">
        <f t="shared" si="21"/>
        <v>0</v>
      </c>
      <c r="BQ252">
        <f t="shared" si="22"/>
        <v>0</v>
      </c>
    </row>
    <row r="253" spans="67:69">
      <c r="BO253">
        <f t="shared" si="20"/>
        <v>0</v>
      </c>
      <c r="BP253">
        <f t="shared" si="21"/>
        <v>0</v>
      </c>
      <c r="BQ253">
        <f t="shared" si="22"/>
        <v>0</v>
      </c>
    </row>
    <row r="254" spans="67:69">
      <c r="BO254">
        <f t="shared" si="20"/>
        <v>0</v>
      </c>
      <c r="BP254">
        <f t="shared" si="21"/>
        <v>0</v>
      </c>
      <c r="BQ254">
        <f t="shared" si="22"/>
        <v>0</v>
      </c>
    </row>
    <row r="255" spans="67:69">
      <c r="BO255">
        <f t="shared" si="20"/>
        <v>0</v>
      </c>
      <c r="BP255">
        <f t="shared" si="21"/>
        <v>0</v>
      </c>
      <c r="BQ255">
        <f t="shared" si="22"/>
        <v>0</v>
      </c>
    </row>
    <row r="256" spans="67:69">
      <c r="BO256">
        <f t="shared" si="20"/>
        <v>0</v>
      </c>
      <c r="BP256">
        <f t="shared" si="21"/>
        <v>0</v>
      </c>
      <c r="BQ256">
        <f t="shared" si="22"/>
        <v>0</v>
      </c>
    </row>
    <row r="257" spans="67:69">
      <c r="BO257">
        <f t="shared" si="20"/>
        <v>0</v>
      </c>
      <c r="BP257">
        <f t="shared" si="21"/>
        <v>0</v>
      </c>
      <c r="BQ257">
        <f t="shared" si="22"/>
        <v>0</v>
      </c>
    </row>
    <row r="258" spans="67:69">
      <c r="BO258">
        <f t="shared" si="20"/>
        <v>0</v>
      </c>
      <c r="BP258">
        <f t="shared" si="21"/>
        <v>0</v>
      </c>
      <c r="BQ258">
        <f t="shared" si="22"/>
        <v>0</v>
      </c>
    </row>
    <row r="259" spans="67:69">
      <c r="BO259">
        <f t="shared" si="20"/>
        <v>0</v>
      </c>
      <c r="BP259">
        <f t="shared" si="21"/>
        <v>0</v>
      </c>
      <c r="BQ259">
        <f t="shared" si="22"/>
        <v>0</v>
      </c>
    </row>
    <row r="260" spans="67:69">
      <c r="BO260">
        <f t="shared" si="20"/>
        <v>0</v>
      </c>
      <c r="BP260">
        <f t="shared" si="21"/>
        <v>0</v>
      </c>
      <c r="BQ260">
        <f t="shared" si="22"/>
        <v>0</v>
      </c>
    </row>
    <row r="261" spans="67:69">
      <c r="BO261">
        <f t="shared" si="20"/>
        <v>0</v>
      </c>
      <c r="BP261">
        <f t="shared" si="21"/>
        <v>0</v>
      </c>
      <c r="BQ261">
        <f t="shared" si="22"/>
        <v>0</v>
      </c>
    </row>
    <row r="262" spans="67:69">
      <c r="BO262">
        <f t="shared" si="20"/>
        <v>0</v>
      </c>
      <c r="BP262">
        <f t="shared" si="21"/>
        <v>0</v>
      </c>
      <c r="BQ262">
        <f t="shared" si="22"/>
        <v>0</v>
      </c>
    </row>
    <row r="263" spans="67:69">
      <c r="BO263">
        <f t="shared" si="20"/>
        <v>0</v>
      </c>
      <c r="BP263">
        <f t="shared" si="21"/>
        <v>0</v>
      </c>
      <c r="BQ263">
        <f t="shared" si="22"/>
        <v>0</v>
      </c>
    </row>
    <row r="264" spans="67:69">
      <c r="BO264">
        <f t="shared" si="20"/>
        <v>0</v>
      </c>
      <c r="BP264">
        <f t="shared" si="21"/>
        <v>0</v>
      </c>
      <c r="BQ264">
        <f t="shared" si="22"/>
        <v>0</v>
      </c>
    </row>
    <row r="265" spans="67:69">
      <c r="BO265">
        <f t="shared" si="20"/>
        <v>0</v>
      </c>
      <c r="BP265">
        <f t="shared" si="21"/>
        <v>0</v>
      </c>
      <c r="BQ265">
        <f t="shared" si="22"/>
        <v>0</v>
      </c>
    </row>
    <row r="266" spans="67:69">
      <c r="BO266">
        <f t="shared" si="20"/>
        <v>0</v>
      </c>
      <c r="BP266">
        <f t="shared" si="21"/>
        <v>0</v>
      </c>
      <c r="BQ266">
        <f t="shared" si="22"/>
        <v>0</v>
      </c>
    </row>
    <row r="267" spans="67:69">
      <c r="BO267">
        <f t="shared" si="20"/>
        <v>0</v>
      </c>
      <c r="BP267">
        <f t="shared" si="21"/>
        <v>0</v>
      </c>
      <c r="BQ267">
        <f t="shared" si="22"/>
        <v>0</v>
      </c>
    </row>
    <row r="268" spans="67:69">
      <c r="BO268">
        <f t="shared" si="20"/>
        <v>0</v>
      </c>
      <c r="BP268">
        <f t="shared" si="21"/>
        <v>0</v>
      </c>
      <c r="BQ268">
        <f t="shared" si="22"/>
        <v>0</v>
      </c>
    </row>
    <row r="269" spans="67:69">
      <c r="BO269">
        <f t="shared" si="20"/>
        <v>0</v>
      </c>
      <c r="BP269">
        <f t="shared" si="21"/>
        <v>0</v>
      </c>
      <c r="BQ269">
        <f t="shared" si="22"/>
        <v>0</v>
      </c>
    </row>
    <row r="270" spans="67:69">
      <c r="BO270">
        <f t="shared" si="20"/>
        <v>0</v>
      </c>
      <c r="BP270">
        <f t="shared" si="21"/>
        <v>0</v>
      </c>
      <c r="BQ270">
        <f t="shared" si="22"/>
        <v>0</v>
      </c>
    </row>
    <row r="271" spans="67:69">
      <c r="BO271">
        <f t="shared" si="20"/>
        <v>0</v>
      </c>
      <c r="BP271">
        <f t="shared" si="21"/>
        <v>0</v>
      </c>
      <c r="BQ271">
        <f t="shared" si="22"/>
        <v>0</v>
      </c>
    </row>
    <row r="272" spans="67:69">
      <c r="BO272">
        <f t="shared" si="20"/>
        <v>0</v>
      </c>
      <c r="BP272">
        <f t="shared" si="21"/>
        <v>0</v>
      </c>
      <c r="BQ272">
        <f t="shared" si="22"/>
        <v>0</v>
      </c>
    </row>
    <row r="273" spans="67:69">
      <c r="BO273">
        <f t="shared" si="20"/>
        <v>0</v>
      </c>
      <c r="BP273">
        <f t="shared" si="21"/>
        <v>0</v>
      </c>
      <c r="BQ273">
        <f t="shared" si="22"/>
        <v>0</v>
      </c>
    </row>
    <row r="274" spans="67:69">
      <c r="BO274">
        <f t="shared" si="20"/>
        <v>0</v>
      </c>
      <c r="BP274">
        <f t="shared" si="21"/>
        <v>0</v>
      </c>
      <c r="BQ274">
        <f t="shared" si="22"/>
        <v>0</v>
      </c>
    </row>
    <row r="275" spans="67:69">
      <c r="BO275">
        <f t="shared" si="20"/>
        <v>0</v>
      </c>
      <c r="BP275">
        <f t="shared" si="21"/>
        <v>0</v>
      </c>
      <c r="BQ275">
        <f t="shared" si="22"/>
        <v>0</v>
      </c>
    </row>
    <row r="276" spans="67:69">
      <c r="BO276">
        <f t="shared" si="20"/>
        <v>0</v>
      </c>
      <c r="BP276">
        <f t="shared" si="21"/>
        <v>0</v>
      </c>
      <c r="BQ276">
        <f t="shared" si="22"/>
        <v>0</v>
      </c>
    </row>
    <row r="277" spans="67:69">
      <c r="BO277">
        <f t="shared" si="20"/>
        <v>0</v>
      </c>
      <c r="BP277">
        <f t="shared" si="21"/>
        <v>0</v>
      </c>
      <c r="BQ277">
        <f t="shared" si="22"/>
        <v>0</v>
      </c>
    </row>
    <row r="278" spans="67:69">
      <c r="BO278">
        <f t="shared" si="20"/>
        <v>0</v>
      </c>
      <c r="BP278">
        <f t="shared" si="21"/>
        <v>0</v>
      </c>
      <c r="BQ278">
        <f t="shared" si="22"/>
        <v>0</v>
      </c>
    </row>
    <row r="279" spans="67:69">
      <c r="BO279">
        <f t="shared" si="20"/>
        <v>0</v>
      </c>
      <c r="BP279">
        <f t="shared" si="21"/>
        <v>0</v>
      </c>
      <c r="BQ279">
        <f t="shared" si="22"/>
        <v>0</v>
      </c>
    </row>
    <row r="280" spans="67:69">
      <c r="BO280">
        <f t="shared" si="20"/>
        <v>0</v>
      </c>
      <c r="BP280">
        <f t="shared" si="21"/>
        <v>0</v>
      </c>
      <c r="BQ280">
        <f t="shared" si="22"/>
        <v>0</v>
      </c>
    </row>
    <row r="281" spans="67:69">
      <c r="BO281">
        <f t="shared" si="20"/>
        <v>0</v>
      </c>
      <c r="BP281">
        <f t="shared" si="21"/>
        <v>0</v>
      </c>
      <c r="BQ281">
        <f t="shared" si="22"/>
        <v>0</v>
      </c>
    </row>
    <row r="282" spans="67:69">
      <c r="BO282">
        <f t="shared" si="20"/>
        <v>0</v>
      </c>
      <c r="BP282">
        <f t="shared" si="21"/>
        <v>0</v>
      </c>
      <c r="BQ282">
        <f t="shared" si="22"/>
        <v>0</v>
      </c>
    </row>
    <row r="283" spans="67:69">
      <c r="BO283">
        <f t="shared" si="20"/>
        <v>0</v>
      </c>
      <c r="BP283">
        <f t="shared" si="21"/>
        <v>0</v>
      </c>
      <c r="BQ283">
        <f t="shared" si="22"/>
        <v>0</v>
      </c>
    </row>
    <row r="284" spans="67:69">
      <c r="BO284">
        <f t="shared" si="20"/>
        <v>0</v>
      </c>
      <c r="BP284">
        <f t="shared" si="21"/>
        <v>0</v>
      </c>
      <c r="BQ284">
        <f t="shared" si="22"/>
        <v>0</v>
      </c>
    </row>
    <row r="285" spans="67:69">
      <c r="BO285">
        <f t="shared" si="20"/>
        <v>0</v>
      </c>
      <c r="BP285">
        <f t="shared" si="21"/>
        <v>0</v>
      </c>
      <c r="BQ285">
        <f t="shared" si="22"/>
        <v>0</v>
      </c>
    </row>
    <row r="286" spans="67:69">
      <c r="BO286">
        <f t="shared" si="20"/>
        <v>0</v>
      </c>
      <c r="BP286">
        <f t="shared" si="21"/>
        <v>0</v>
      </c>
      <c r="BQ286">
        <f t="shared" si="22"/>
        <v>0</v>
      </c>
    </row>
    <row r="287" spans="67:69">
      <c r="BO287">
        <f t="shared" si="20"/>
        <v>0</v>
      </c>
      <c r="BP287">
        <f t="shared" si="21"/>
        <v>0</v>
      </c>
      <c r="BQ287">
        <f t="shared" si="22"/>
        <v>0</v>
      </c>
    </row>
    <row r="288" spans="67:69">
      <c r="BO288">
        <f t="shared" si="20"/>
        <v>0</v>
      </c>
      <c r="BP288">
        <f t="shared" si="21"/>
        <v>0</v>
      </c>
      <c r="BQ288">
        <f t="shared" si="22"/>
        <v>0</v>
      </c>
    </row>
    <row r="289" spans="67:69">
      <c r="BO289">
        <f t="shared" si="20"/>
        <v>0</v>
      </c>
      <c r="BP289">
        <f t="shared" si="21"/>
        <v>0</v>
      </c>
      <c r="BQ289">
        <f t="shared" si="22"/>
        <v>0</v>
      </c>
    </row>
    <row r="290" spans="67:69">
      <c r="BO290">
        <f t="shared" si="20"/>
        <v>0</v>
      </c>
      <c r="BP290">
        <f t="shared" si="21"/>
        <v>0</v>
      </c>
      <c r="BQ290">
        <f t="shared" si="22"/>
        <v>0</v>
      </c>
    </row>
    <row r="291" spans="67:69">
      <c r="BO291">
        <f t="shared" si="20"/>
        <v>0</v>
      </c>
      <c r="BP291">
        <f t="shared" si="21"/>
        <v>0</v>
      </c>
      <c r="BQ291">
        <f t="shared" si="22"/>
        <v>0</v>
      </c>
    </row>
    <row r="292" spans="67:69">
      <c r="BO292">
        <f t="shared" si="20"/>
        <v>0</v>
      </c>
      <c r="BP292">
        <f t="shared" si="21"/>
        <v>0</v>
      </c>
      <c r="BQ292">
        <f t="shared" si="22"/>
        <v>0</v>
      </c>
    </row>
    <row r="293" spans="67:69">
      <c r="BO293">
        <f t="shared" si="20"/>
        <v>0</v>
      </c>
      <c r="BP293">
        <f t="shared" si="21"/>
        <v>0</v>
      </c>
      <c r="BQ293">
        <f t="shared" si="22"/>
        <v>0</v>
      </c>
    </row>
    <row r="294" spans="67:69">
      <c r="BO294">
        <f t="shared" si="20"/>
        <v>0</v>
      </c>
      <c r="BP294">
        <f t="shared" si="21"/>
        <v>0</v>
      </c>
      <c r="BQ294">
        <f t="shared" si="22"/>
        <v>0</v>
      </c>
    </row>
    <row r="295" spans="67:69">
      <c r="BO295">
        <f t="shared" si="20"/>
        <v>0</v>
      </c>
      <c r="BP295">
        <f t="shared" si="21"/>
        <v>0</v>
      </c>
      <c r="BQ295">
        <f t="shared" si="22"/>
        <v>0</v>
      </c>
    </row>
    <row r="296" spans="67:69">
      <c r="BO296">
        <f t="shared" si="20"/>
        <v>0</v>
      </c>
      <c r="BP296">
        <f t="shared" si="21"/>
        <v>0</v>
      </c>
      <c r="BQ296">
        <f t="shared" si="22"/>
        <v>0</v>
      </c>
    </row>
    <row r="297" spans="67:69">
      <c r="BO297">
        <f t="shared" si="20"/>
        <v>0</v>
      </c>
      <c r="BP297">
        <f t="shared" si="21"/>
        <v>0</v>
      </c>
      <c r="BQ297">
        <f t="shared" si="22"/>
        <v>0</v>
      </c>
    </row>
    <row r="298" spans="67:69">
      <c r="BO298">
        <f t="shared" si="20"/>
        <v>0</v>
      </c>
      <c r="BP298">
        <f t="shared" si="21"/>
        <v>0</v>
      </c>
      <c r="BQ298">
        <f t="shared" si="22"/>
        <v>0</v>
      </c>
    </row>
    <row r="299" spans="67:69">
      <c r="BO299">
        <f t="shared" si="20"/>
        <v>0</v>
      </c>
      <c r="BP299">
        <f t="shared" si="21"/>
        <v>0</v>
      </c>
      <c r="BQ299">
        <f t="shared" si="22"/>
        <v>0</v>
      </c>
    </row>
    <row r="300" spans="67:69">
      <c r="BO300">
        <f t="shared" si="20"/>
        <v>0</v>
      </c>
      <c r="BP300">
        <f t="shared" si="21"/>
        <v>0</v>
      </c>
      <c r="BQ300">
        <f t="shared" si="22"/>
        <v>0</v>
      </c>
    </row>
    <row r="301" spans="67:69">
      <c r="BO301">
        <f t="shared" si="20"/>
        <v>0</v>
      </c>
      <c r="BP301">
        <f t="shared" si="21"/>
        <v>0</v>
      </c>
      <c r="BQ301">
        <f t="shared" si="22"/>
        <v>0</v>
      </c>
    </row>
    <row r="302" spans="67:69">
      <c r="BO302">
        <f t="shared" si="20"/>
        <v>0</v>
      </c>
      <c r="BP302">
        <f t="shared" si="21"/>
        <v>0</v>
      </c>
      <c r="BQ302">
        <f t="shared" si="22"/>
        <v>0</v>
      </c>
    </row>
    <row r="303" spans="67:69">
      <c r="BO303">
        <f t="shared" si="20"/>
        <v>0</v>
      </c>
      <c r="BP303">
        <f t="shared" si="21"/>
        <v>0</v>
      </c>
      <c r="BQ303">
        <f t="shared" si="22"/>
        <v>0</v>
      </c>
    </row>
    <row r="304" spans="67:69">
      <c r="BO304">
        <f t="shared" si="20"/>
        <v>0</v>
      </c>
      <c r="BP304">
        <f t="shared" si="21"/>
        <v>0</v>
      </c>
      <c r="BQ304">
        <f t="shared" si="22"/>
        <v>0</v>
      </c>
    </row>
    <row r="305" spans="67:69">
      <c r="BO305">
        <f t="shared" si="20"/>
        <v>0</v>
      </c>
      <c r="BP305">
        <f t="shared" si="21"/>
        <v>0</v>
      </c>
      <c r="BQ305">
        <f t="shared" si="22"/>
        <v>0</v>
      </c>
    </row>
    <row r="306" spans="67:69">
      <c r="BO306">
        <f t="shared" si="20"/>
        <v>0</v>
      </c>
      <c r="BP306">
        <f t="shared" si="21"/>
        <v>0</v>
      </c>
      <c r="BQ306">
        <f t="shared" si="22"/>
        <v>0</v>
      </c>
    </row>
    <row r="307" spans="67:69">
      <c r="BO307">
        <f t="shared" si="20"/>
        <v>0</v>
      </c>
      <c r="BP307">
        <f t="shared" si="21"/>
        <v>0</v>
      </c>
      <c r="BQ307">
        <f t="shared" si="22"/>
        <v>0</v>
      </c>
    </row>
    <row r="308" spans="67:69">
      <c r="BO308">
        <f t="shared" si="20"/>
        <v>0</v>
      </c>
      <c r="BP308">
        <f t="shared" si="21"/>
        <v>0</v>
      </c>
      <c r="BQ308">
        <f t="shared" si="22"/>
        <v>0</v>
      </c>
    </row>
    <row r="309" spans="67:69">
      <c r="BO309">
        <f t="shared" si="20"/>
        <v>0</v>
      </c>
      <c r="BP309">
        <f t="shared" si="21"/>
        <v>0</v>
      </c>
      <c r="BQ309">
        <f t="shared" si="22"/>
        <v>0</v>
      </c>
    </row>
    <row r="310" spans="67:69">
      <c r="BO310">
        <f t="shared" si="20"/>
        <v>0</v>
      </c>
      <c r="BP310">
        <f t="shared" si="21"/>
        <v>0</v>
      </c>
      <c r="BQ310">
        <f t="shared" si="22"/>
        <v>0</v>
      </c>
    </row>
    <row r="311" spans="67:69">
      <c r="BO311">
        <f t="shared" si="20"/>
        <v>0</v>
      </c>
      <c r="BP311">
        <f t="shared" si="21"/>
        <v>0</v>
      </c>
      <c r="BQ311">
        <f t="shared" si="22"/>
        <v>0</v>
      </c>
    </row>
    <row r="312" spans="67:69">
      <c r="BO312">
        <f t="shared" si="20"/>
        <v>0</v>
      </c>
      <c r="BP312">
        <f t="shared" si="21"/>
        <v>0</v>
      </c>
      <c r="BQ312">
        <f t="shared" si="22"/>
        <v>0</v>
      </c>
    </row>
    <row r="313" spans="67:69">
      <c r="BO313">
        <f t="shared" ref="BO313:BO376" si="23">SUM(D313,E313,G313,I313,K313,M313,O313,Q313,S313,U313,Y313,AA313,AC313,AE313,AG313,AI313,AK313,AM313,AO313,AQ313,AS313,AU313,AW313,AY313,BA313,BC313,BE313,BG313,BI313,BK313,BM313)</f>
        <v>0</v>
      </c>
      <c r="BP313">
        <f t="shared" ref="BP313:BP376" si="24">SUM(F313,H313,J313,L313,N313,P313,R313,T313,V313,X313,Z313,AB313,AD313,AF313,AH313,AJ313,AL313,AN313,AP313,AR313,AT313,AV313,AX313,AZ313,BB313,BD313,BF313,BH313,BJ313,BL313,BN313)</f>
        <v>0</v>
      </c>
      <c r="BQ313">
        <f t="shared" ref="BQ313:BQ376" si="25">BO313-BP313</f>
        <v>0</v>
      </c>
    </row>
    <row r="314" spans="67:69">
      <c r="BO314">
        <f t="shared" si="23"/>
        <v>0</v>
      </c>
      <c r="BP314">
        <f t="shared" si="24"/>
        <v>0</v>
      </c>
      <c r="BQ314">
        <f t="shared" si="25"/>
        <v>0</v>
      </c>
    </row>
    <row r="315" spans="67:69">
      <c r="BO315">
        <f t="shared" si="23"/>
        <v>0</v>
      </c>
      <c r="BP315">
        <f t="shared" si="24"/>
        <v>0</v>
      </c>
      <c r="BQ315">
        <f t="shared" si="25"/>
        <v>0</v>
      </c>
    </row>
    <row r="316" spans="67:69">
      <c r="BO316">
        <f t="shared" si="23"/>
        <v>0</v>
      </c>
      <c r="BP316">
        <f t="shared" si="24"/>
        <v>0</v>
      </c>
      <c r="BQ316">
        <f t="shared" si="25"/>
        <v>0</v>
      </c>
    </row>
    <row r="317" spans="67:69">
      <c r="BO317">
        <f t="shared" si="23"/>
        <v>0</v>
      </c>
      <c r="BP317">
        <f t="shared" si="24"/>
        <v>0</v>
      </c>
      <c r="BQ317">
        <f t="shared" si="25"/>
        <v>0</v>
      </c>
    </row>
    <row r="318" spans="67:69">
      <c r="BO318">
        <f t="shared" si="23"/>
        <v>0</v>
      </c>
      <c r="BP318">
        <f t="shared" si="24"/>
        <v>0</v>
      </c>
      <c r="BQ318">
        <f t="shared" si="25"/>
        <v>0</v>
      </c>
    </row>
    <row r="319" spans="67:69">
      <c r="BO319">
        <f t="shared" si="23"/>
        <v>0</v>
      </c>
      <c r="BP319">
        <f t="shared" si="24"/>
        <v>0</v>
      </c>
      <c r="BQ319">
        <f t="shared" si="25"/>
        <v>0</v>
      </c>
    </row>
    <row r="320" spans="67:69">
      <c r="BO320">
        <f t="shared" si="23"/>
        <v>0</v>
      </c>
      <c r="BP320">
        <f t="shared" si="24"/>
        <v>0</v>
      </c>
      <c r="BQ320">
        <f t="shared" si="25"/>
        <v>0</v>
      </c>
    </row>
    <row r="321" spans="67:69">
      <c r="BO321">
        <f t="shared" si="23"/>
        <v>0</v>
      </c>
      <c r="BP321">
        <f t="shared" si="24"/>
        <v>0</v>
      </c>
      <c r="BQ321">
        <f t="shared" si="25"/>
        <v>0</v>
      </c>
    </row>
    <row r="322" spans="67:69">
      <c r="BO322">
        <f t="shared" si="23"/>
        <v>0</v>
      </c>
      <c r="BP322">
        <f t="shared" si="24"/>
        <v>0</v>
      </c>
      <c r="BQ322">
        <f t="shared" si="25"/>
        <v>0</v>
      </c>
    </row>
    <row r="323" spans="67:69">
      <c r="BO323">
        <f t="shared" si="23"/>
        <v>0</v>
      </c>
      <c r="BP323">
        <f t="shared" si="24"/>
        <v>0</v>
      </c>
      <c r="BQ323">
        <f t="shared" si="25"/>
        <v>0</v>
      </c>
    </row>
    <row r="324" spans="67:69">
      <c r="BO324">
        <f t="shared" si="23"/>
        <v>0</v>
      </c>
      <c r="BP324">
        <f t="shared" si="24"/>
        <v>0</v>
      </c>
      <c r="BQ324">
        <f t="shared" si="25"/>
        <v>0</v>
      </c>
    </row>
    <row r="325" spans="67:69">
      <c r="BO325">
        <f t="shared" si="23"/>
        <v>0</v>
      </c>
      <c r="BP325">
        <f t="shared" si="24"/>
        <v>0</v>
      </c>
      <c r="BQ325">
        <f t="shared" si="25"/>
        <v>0</v>
      </c>
    </row>
    <row r="326" spans="67:69">
      <c r="BO326">
        <f t="shared" si="23"/>
        <v>0</v>
      </c>
      <c r="BP326">
        <f t="shared" si="24"/>
        <v>0</v>
      </c>
      <c r="BQ326">
        <f t="shared" si="25"/>
        <v>0</v>
      </c>
    </row>
    <row r="327" spans="67:69">
      <c r="BO327">
        <f t="shared" si="23"/>
        <v>0</v>
      </c>
      <c r="BP327">
        <f t="shared" si="24"/>
        <v>0</v>
      </c>
      <c r="BQ327">
        <f t="shared" si="25"/>
        <v>0</v>
      </c>
    </row>
    <row r="328" spans="67:69">
      <c r="BO328">
        <f t="shared" si="23"/>
        <v>0</v>
      </c>
      <c r="BP328">
        <f t="shared" si="24"/>
        <v>0</v>
      </c>
      <c r="BQ328">
        <f t="shared" si="25"/>
        <v>0</v>
      </c>
    </row>
    <row r="329" spans="67:69">
      <c r="BO329">
        <f t="shared" si="23"/>
        <v>0</v>
      </c>
      <c r="BP329">
        <f t="shared" si="24"/>
        <v>0</v>
      </c>
      <c r="BQ329">
        <f t="shared" si="25"/>
        <v>0</v>
      </c>
    </row>
    <row r="330" spans="67:69">
      <c r="BO330">
        <f t="shared" si="23"/>
        <v>0</v>
      </c>
      <c r="BP330">
        <f t="shared" si="24"/>
        <v>0</v>
      </c>
      <c r="BQ330">
        <f t="shared" si="25"/>
        <v>0</v>
      </c>
    </row>
    <row r="331" spans="67:69">
      <c r="BO331">
        <f t="shared" si="23"/>
        <v>0</v>
      </c>
      <c r="BP331">
        <f t="shared" si="24"/>
        <v>0</v>
      </c>
      <c r="BQ331">
        <f t="shared" si="25"/>
        <v>0</v>
      </c>
    </row>
    <row r="332" spans="67:69">
      <c r="BO332">
        <f t="shared" si="23"/>
        <v>0</v>
      </c>
      <c r="BP332">
        <f t="shared" si="24"/>
        <v>0</v>
      </c>
      <c r="BQ332">
        <f t="shared" si="25"/>
        <v>0</v>
      </c>
    </row>
    <row r="333" spans="67:69">
      <c r="BO333">
        <f t="shared" si="23"/>
        <v>0</v>
      </c>
      <c r="BP333">
        <f t="shared" si="24"/>
        <v>0</v>
      </c>
      <c r="BQ333">
        <f t="shared" si="25"/>
        <v>0</v>
      </c>
    </row>
    <row r="334" spans="67:69">
      <c r="BO334">
        <f t="shared" si="23"/>
        <v>0</v>
      </c>
      <c r="BP334">
        <f t="shared" si="24"/>
        <v>0</v>
      </c>
      <c r="BQ334">
        <f t="shared" si="25"/>
        <v>0</v>
      </c>
    </row>
    <row r="335" spans="67:69">
      <c r="BO335">
        <f t="shared" si="23"/>
        <v>0</v>
      </c>
      <c r="BP335">
        <f t="shared" si="24"/>
        <v>0</v>
      </c>
      <c r="BQ335">
        <f t="shared" si="25"/>
        <v>0</v>
      </c>
    </row>
    <row r="336" spans="67:69">
      <c r="BO336">
        <f t="shared" si="23"/>
        <v>0</v>
      </c>
      <c r="BP336">
        <f t="shared" si="24"/>
        <v>0</v>
      </c>
      <c r="BQ336">
        <f t="shared" si="25"/>
        <v>0</v>
      </c>
    </row>
    <row r="337" spans="67:69">
      <c r="BO337">
        <f t="shared" si="23"/>
        <v>0</v>
      </c>
      <c r="BP337">
        <f t="shared" si="24"/>
        <v>0</v>
      </c>
      <c r="BQ337">
        <f t="shared" si="25"/>
        <v>0</v>
      </c>
    </row>
    <row r="338" spans="67:69">
      <c r="BO338">
        <f t="shared" si="23"/>
        <v>0</v>
      </c>
      <c r="BP338">
        <f t="shared" si="24"/>
        <v>0</v>
      </c>
      <c r="BQ338">
        <f t="shared" si="25"/>
        <v>0</v>
      </c>
    </row>
    <row r="339" spans="67:69">
      <c r="BO339">
        <f t="shared" si="23"/>
        <v>0</v>
      </c>
      <c r="BP339">
        <f t="shared" si="24"/>
        <v>0</v>
      </c>
      <c r="BQ339">
        <f t="shared" si="25"/>
        <v>0</v>
      </c>
    </row>
    <row r="340" spans="67:69">
      <c r="BO340">
        <f t="shared" si="23"/>
        <v>0</v>
      </c>
      <c r="BP340">
        <f t="shared" si="24"/>
        <v>0</v>
      </c>
      <c r="BQ340">
        <f t="shared" si="25"/>
        <v>0</v>
      </c>
    </row>
    <row r="341" spans="67:69">
      <c r="BO341">
        <f t="shared" si="23"/>
        <v>0</v>
      </c>
      <c r="BP341">
        <f t="shared" si="24"/>
        <v>0</v>
      </c>
      <c r="BQ341">
        <f t="shared" si="25"/>
        <v>0</v>
      </c>
    </row>
    <row r="342" spans="67:69">
      <c r="BO342">
        <f t="shared" si="23"/>
        <v>0</v>
      </c>
      <c r="BP342">
        <f t="shared" si="24"/>
        <v>0</v>
      </c>
      <c r="BQ342">
        <f t="shared" si="25"/>
        <v>0</v>
      </c>
    </row>
    <row r="343" spans="67:69">
      <c r="BO343">
        <f t="shared" si="23"/>
        <v>0</v>
      </c>
      <c r="BP343">
        <f t="shared" si="24"/>
        <v>0</v>
      </c>
      <c r="BQ343">
        <f t="shared" si="25"/>
        <v>0</v>
      </c>
    </row>
    <row r="344" spans="67:69">
      <c r="BO344">
        <f t="shared" si="23"/>
        <v>0</v>
      </c>
      <c r="BP344">
        <f t="shared" si="24"/>
        <v>0</v>
      </c>
      <c r="BQ344">
        <f t="shared" si="25"/>
        <v>0</v>
      </c>
    </row>
    <row r="345" spans="67:69">
      <c r="BO345">
        <f t="shared" si="23"/>
        <v>0</v>
      </c>
      <c r="BP345">
        <f t="shared" si="24"/>
        <v>0</v>
      </c>
      <c r="BQ345">
        <f t="shared" si="25"/>
        <v>0</v>
      </c>
    </row>
    <row r="346" spans="67:69">
      <c r="BO346">
        <f t="shared" si="23"/>
        <v>0</v>
      </c>
      <c r="BP346">
        <f t="shared" si="24"/>
        <v>0</v>
      </c>
      <c r="BQ346">
        <f t="shared" si="25"/>
        <v>0</v>
      </c>
    </row>
    <row r="347" spans="67:69">
      <c r="BO347">
        <f t="shared" si="23"/>
        <v>0</v>
      </c>
      <c r="BP347">
        <f t="shared" si="24"/>
        <v>0</v>
      </c>
      <c r="BQ347">
        <f t="shared" si="25"/>
        <v>0</v>
      </c>
    </row>
    <row r="348" spans="67:69">
      <c r="BO348">
        <f t="shared" si="23"/>
        <v>0</v>
      </c>
      <c r="BP348">
        <f t="shared" si="24"/>
        <v>0</v>
      </c>
      <c r="BQ348">
        <f t="shared" si="25"/>
        <v>0</v>
      </c>
    </row>
    <row r="349" spans="67:69">
      <c r="BO349">
        <f t="shared" si="23"/>
        <v>0</v>
      </c>
      <c r="BP349">
        <f t="shared" si="24"/>
        <v>0</v>
      </c>
      <c r="BQ349">
        <f t="shared" si="25"/>
        <v>0</v>
      </c>
    </row>
    <row r="350" spans="67:69">
      <c r="BO350">
        <f t="shared" si="23"/>
        <v>0</v>
      </c>
      <c r="BP350">
        <f t="shared" si="24"/>
        <v>0</v>
      </c>
      <c r="BQ350">
        <f t="shared" si="25"/>
        <v>0</v>
      </c>
    </row>
    <row r="351" spans="67:69">
      <c r="BO351">
        <f t="shared" si="23"/>
        <v>0</v>
      </c>
      <c r="BP351">
        <f t="shared" si="24"/>
        <v>0</v>
      </c>
      <c r="BQ351">
        <f t="shared" si="25"/>
        <v>0</v>
      </c>
    </row>
    <row r="352" spans="67:69">
      <c r="BO352">
        <f t="shared" si="23"/>
        <v>0</v>
      </c>
      <c r="BP352">
        <f t="shared" si="24"/>
        <v>0</v>
      </c>
      <c r="BQ352">
        <f t="shared" si="25"/>
        <v>0</v>
      </c>
    </row>
    <row r="353" spans="67:69">
      <c r="BO353">
        <f t="shared" si="23"/>
        <v>0</v>
      </c>
      <c r="BP353">
        <f t="shared" si="24"/>
        <v>0</v>
      </c>
      <c r="BQ353">
        <f t="shared" si="25"/>
        <v>0</v>
      </c>
    </row>
    <row r="354" spans="67:69">
      <c r="BO354">
        <f t="shared" si="23"/>
        <v>0</v>
      </c>
      <c r="BP354">
        <f t="shared" si="24"/>
        <v>0</v>
      </c>
      <c r="BQ354">
        <f t="shared" si="25"/>
        <v>0</v>
      </c>
    </row>
    <row r="355" spans="67:69">
      <c r="BO355">
        <f t="shared" si="23"/>
        <v>0</v>
      </c>
      <c r="BP355">
        <f t="shared" si="24"/>
        <v>0</v>
      </c>
      <c r="BQ355">
        <f t="shared" si="25"/>
        <v>0</v>
      </c>
    </row>
    <row r="356" spans="67:69">
      <c r="BO356">
        <f t="shared" si="23"/>
        <v>0</v>
      </c>
      <c r="BP356">
        <f t="shared" si="24"/>
        <v>0</v>
      </c>
      <c r="BQ356">
        <f t="shared" si="25"/>
        <v>0</v>
      </c>
    </row>
    <row r="357" spans="67:69">
      <c r="BO357">
        <f t="shared" si="23"/>
        <v>0</v>
      </c>
      <c r="BP357">
        <f t="shared" si="24"/>
        <v>0</v>
      </c>
      <c r="BQ357">
        <f t="shared" si="25"/>
        <v>0</v>
      </c>
    </row>
    <row r="358" spans="67:69">
      <c r="BO358">
        <f t="shared" si="23"/>
        <v>0</v>
      </c>
      <c r="BP358">
        <f t="shared" si="24"/>
        <v>0</v>
      </c>
      <c r="BQ358">
        <f t="shared" si="25"/>
        <v>0</v>
      </c>
    </row>
    <row r="359" spans="67:69">
      <c r="BO359">
        <f t="shared" si="23"/>
        <v>0</v>
      </c>
      <c r="BP359">
        <f t="shared" si="24"/>
        <v>0</v>
      </c>
      <c r="BQ359">
        <f t="shared" si="25"/>
        <v>0</v>
      </c>
    </row>
    <row r="360" spans="67:69">
      <c r="BO360">
        <f t="shared" si="23"/>
        <v>0</v>
      </c>
      <c r="BP360">
        <f t="shared" si="24"/>
        <v>0</v>
      </c>
      <c r="BQ360">
        <f t="shared" si="25"/>
        <v>0</v>
      </c>
    </row>
    <row r="361" spans="67:69">
      <c r="BO361">
        <f t="shared" si="23"/>
        <v>0</v>
      </c>
      <c r="BP361">
        <f t="shared" si="24"/>
        <v>0</v>
      </c>
      <c r="BQ361">
        <f t="shared" si="25"/>
        <v>0</v>
      </c>
    </row>
    <row r="362" spans="67:69">
      <c r="BO362">
        <f t="shared" si="23"/>
        <v>0</v>
      </c>
      <c r="BP362">
        <f t="shared" si="24"/>
        <v>0</v>
      </c>
      <c r="BQ362">
        <f t="shared" si="25"/>
        <v>0</v>
      </c>
    </row>
    <row r="363" spans="67:69">
      <c r="BO363">
        <f t="shared" si="23"/>
        <v>0</v>
      </c>
      <c r="BP363">
        <f t="shared" si="24"/>
        <v>0</v>
      </c>
      <c r="BQ363">
        <f t="shared" si="25"/>
        <v>0</v>
      </c>
    </row>
    <row r="364" spans="67:69">
      <c r="BO364">
        <f t="shared" si="23"/>
        <v>0</v>
      </c>
      <c r="BP364">
        <f t="shared" si="24"/>
        <v>0</v>
      </c>
      <c r="BQ364">
        <f t="shared" si="25"/>
        <v>0</v>
      </c>
    </row>
    <row r="365" spans="67:69">
      <c r="BO365">
        <f t="shared" si="23"/>
        <v>0</v>
      </c>
      <c r="BP365">
        <f t="shared" si="24"/>
        <v>0</v>
      </c>
      <c r="BQ365">
        <f t="shared" si="25"/>
        <v>0</v>
      </c>
    </row>
    <row r="366" spans="67:69">
      <c r="BO366">
        <f t="shared" si="23"/>
        <v>0</v>
      </c>
      <c r="BP366">
        <f t="shared" si="24"/>
        <v>0</v>
      </c>
      <c r="BQ366">
        <f t="shared" si="25"/>
        <v>0</v>
      </c>
    </row>
    <row r="367" spans="67:69">
      <c r="BO367">
        <f t="shared" si="23"/>
        <v>0</v>
      </c>
      <c r="BP367">
        <f t="shared" si="24"/>
        <v>0</v>
      </c>
      <c r="BQ367">
        <f t="shared" si="25"/>
        <v>0</v>
      </c>
    </row>
    <row r="368" spans="67:69">
      <c r="BO368">
        <f t="shared" si="23"/>
        <v>0</v>
      </c>
      <c r="BP368">
        <f t="shared" si="24"/>
        <v>0</v>
      </c>
      <c r="BQ368">
        <f t="shared" si="25"/>
        <v>0</v>
      </c>
    </row>
    <row r="369" spans="67:69">
      <c r="BO369">
        <f t="shared" si="23"/>
        <v>0</v>
      </c>
      <c r="BP369">
        <f t="shared" si="24"/>
        <v>0</v>
      </c>
      <c r="BQ369">
        <f t="shared" si="25"/>
        <v>0</v>
      </c>
    </row>
    <row r="370" spans="67:69">
      <c r="BO370">
        <f t="shared" si="23"/>
        <v>0</v>
      </c>
      <c r="BP370">
        <f t="shared" si="24"/>
        <v>0</v>
      </c>
      <c r="BQ370">
        <f t="shared" si="25"/>
        <v>0</v>
      </c>
    </row>
    <row r="371" spans="67:69">
      <c r="BO371">
        <f t="shared" si="23"/>
        <v>0</v>
      </c>
      <c r="BP371">
        <f t="shared" si="24"/>
        <v>0</v>
      </c>
      <c r="BQ371">
        <f t="shared" si="25"/>
        <v>0</v>
      </c>
    </row>
    <row r="372" spans="67:69">
      <c r="BO372">
        <f t="shared" si="23"/>
        <v>0</v>
      </c>
      <c r="BP372">
        <f t="shared" si="24"/>
        <v>0</v>
      </c>
      <c r="BQ372">
        <f t="shared" si="25"/>
        <v>0</v>
      </c>
    </row>
    <row r="373" spans="67:69">
      <c r="BO373">
        <f t="shared" si="23"/>
        <v>0</v>
      </c>
      <c r="BP373">
        <f t="shared" si="24"/>
        <v>0</v>
      </c>
      <c r="BQ373">
        <f t="shared" si="25"/>
        <v>0</v>
      </c>
    </row>
    <row r="374" spans="67:69">
      <c r="BO374">
        <f t="shared" si="23"/>
        <v>0</v>
      </c>
      <c r="BP374">
        <f t="shared" si="24"/>
        <v>0</v>
      </c>
      <c r="BQ374">
        <f t="shared" si="25"/>
        <v>0</v>
      </c>
    </row>
    <row r="375" spans="67:69">
      <c r="BO375">
        <f t="shared" si="23"/>
        <v>0</v>
      </c>
      <c r="BP375">
        <f t="shared" si="24"/>
        <v>0</v>
      </c>
      <c r="BQ375">
        <f t="shared" si="25"/>
        <v>0</v>
      </c>
    </row>
    <row r="376" spans="67:69">
      <c r="BO376">
        <f t="shared" si="23"/>
        <v>0</v>
      </c>
      <c r="BP376">
        <f t="shared" si="24"/>
        <v>0</v>
      </c>
      <c r="BQ376">
        <f t="shared" si="25"/>
        <v>0</v>
      </c>
    </row>
    <row r="377" spans="67:69">
      <c r="BO377">
        <f t="shared" ref="BO377:BO440" si="26">SUM(D377,E377,G377,I377,K377,M377,O377,Q377,S377,U377,Y377,AA377,AC377,AE377,AG377,AI377,AK377,AM377,AO377,AQ377,AS377,AU377,AW377,AY377,BA377,BC377,BE377,BG377,BI377,BK377,BM377)</f>
        <v>0</v>
      </c>
      <c r="BP377">
        <f t="shared" ref="BP377:BP440" si="27">SUM(F377,H377,J377,L377,N377,P377,R377,T377,V377,X377,Z377,AB377,AD377,AF377,AH377,AJ377,AL377,AN377,AP377,AR377,AT377,AV377,AX377,AZ377,BB377,BD377,BF377,BH377,BJ377,BL377,BN377)</f>
        <v>0</v>
      </c>
      <c r="BQ377">
        <f t="shared" ref="BQ377:BQ440" si="28">BO377-BP377</f>
        <v>0</v>
      </c>
    </row>
    <row r="378" spans="67:69">
      <c r="BO378">
        <f t="shared" si="26"/>
        <v>0</v>
      </c>
      <c r="BP378">
        <f t="shared" si="27"/>
        <v>0</v>
      </c>
      <c r="BQ378">
        <f t="shared" si="28"/>
        <v>0</v>
      </c>
    </row>
    <row r="379" spans="67:69">
      <c r="BO379">
        <f t="shared" si="26"/>
        <v>0</v>
      </c>
      <c r="BP379">
        <f t="shared" si="27"/>
        <v>0</v>
      </c>
      <c r="BQ379">
        <f t="shared" si="28"/>
        <v>0</v>
      </c>
    </row>
    <row r="380" spans="67:69">
      <c r="BO380">
        <f t="shared" si="26"/>
        <v>0</v>
      </c>
      <c r="BP380">
        <f t="shared" si="27"/>
        <v>0</v>
      </c>
      <c r="BQ380">
        <f t="shared" si="28"/>
        <v>0</v>
      </c>
    </row>
    <row r="381" spans="67:69">
      <c r="BO381">
        <f t="shared" si="26"/>
        <v>0</v>
      </c>
      <c r="BP381">
        <f t="shared" si="27"/>
        <v>0</v>
      </c>
      <c r="BQ381">
        <f t="shared" si="28"/>
        <v>0</v>
      </c>
    </row>
    <row r="382" spans="67:69">
      <c r="BO382">
        <f t="shared" si="26"/>
        <v>0</v>
      </c>
      <c r="BP382">
        <f t="shared" si="27"/>
        <v>0</v>
      </c>
      <c r="BQ382">
        <f t="shared" si="28"/>
        <v>0</v>
      </c>
    </row>
    <row r="383" spans="67:69">
      <c r="BO383">
        <f t="shared" si="26"/>
        <v>0</v>
      </c>
      <c r="BP383">
        <f t="shared" si="27"/>
        <v>0</v>
      </c>
      <c r="BQ383">
        <f t="shared" si="28"/>
        <v>0</v>
      </c>
    </row>
    <row r="384" spans="67:69">
      <c r="BO384">
        <f t="shared" si="26"/>
        <v>0</v>
      </c>
      <c r="BP384">
        <f t="shared" si="27"/>
        <v>0</v>
      </c>
      <c r="BQ384">
        <f t="shared" si="28"/>
        <v>0</v>
      </c>
    </row>
    <row r="385" spans="67:69">
      <c r="BO385">
        <f t="shared" si="26"/>
        <v>0</v>
      </c>
      <c r="BP385">
        <f t="shared" si="27"/>
        <v>0</v>
      </c>
      <c r="BQ385">
        <f t="shared" si="28"/>
        <v>0</v>
      </c>
    </row>
    <row r="386" spans="67:69">
      <c r="BO386">
        <f t="shared" si="26"/>
        <v>0</v>
      </c>
      <c r="BP386">
        <f t="shared" si="27"/>
        <v>0</v>
      </c>
      <c r="BQ386">
        <f t="shared" si="28"/>
        <v>0</v>
      </c>
    </row>
    <row r="387" spans="67:69">
      <c r="BO387">
        <f t="shared" si="26"/>
        <v>0</v>
      </c>
      <c r="BP387">
        <f t="shared" si="27"/>
        <v>0</v>
      </c>
      <c r="BQ387">
        <f t="shared" si="28"/>
        <v>0</v>
      </c>
    </row>
    <row r="388" spans="67:69">
      <c r="BO388">
        <f t="shared" si="26"/>
        <v>0</v>
      </c>
      <c r="BP388">
        <f t="shared" si="27"/>
        <v>0</v>
      </c>
      <c r="BQ388">
        <f t="shared" si="28"/>
        <v>0</v>
      </c>
    </row>
    <row r="389" spans="67:69">
      <c r="BO389">
        <f t="shared" si="26"/>
        <v>0</v>
      </c>
      <c r="BP389">
        <f t="shared" si="27"/>
        <v>0</v>
      </c>
      <c r="BQ389">
        <f t="shared" si="28"/>
        <v>0</v>
      </c>
    </row>
    <row r="390" spans="67:69">
      <c r="BO390">
        <f t="shared" si="26"/>
        <v>0</v>
      </c>
      <c r="BP390">
        <f t="shared" si="27"/>
        <v>0</v>
      </c>
      <c r="BQ390">
        <f t="shared" si="28"/>
        <v>0</v>
      </c>
    </row>
    <row r="391" spans="67:69">
      <c r="BO391">
        <f t="shared" si="26"/>
        <v>0</v>
      </c>
      <c r="BP391">
        <f t="shared" si="27"/>
        <v>0</v>
      </c>
      <c r="BQ391">
        <f t="shared" si="28"/>
        <v>0</v>
      </c>
    </row>
    <row r="392" spans="67:69">
      <c r="BO392">
        <f t="shared" si="26"/>
        <v>0</v>
      </c>
      <c r="BP392">
        <f t="shared" si="27"/>
        <v>0</v>
      </c>
      <c r="BQ392">
        <f t="shared" si="28"/>
        <v>0</v>
      </c>
    </row>
    <row r="393" spans="67:69">
      <c r="BO393">
        <f t="shared" si="26"/>
        <v>0</v>
      </c>
      <c r="BP393">
        <f t="shared" si="27"/>
        <v>0</v>
      </c>
      <c r="BQ393">
        <f t="shared" si="28"/>
        <v>0</v>
      </c>
    </row>
    <row r="394" spans="67:69">
      <c r="BO394">
        <f t="shared" si="26"/>
        <v>0</v>
      </c>
      <c r="BP394">
        <f t="shared" si="27"/>
        <v>0</v>
      </c>
      <c r="BQ394">
        <f t="shared" si="28"/>
        <v>0</v>
      </c>
    </row>
    <row r="395" spans="67:69">
      <c r="BO395">
        <f t="shared" si="26"/>
        <v>0</v>
      </c>
      <c r="BP395">
        <f t="shared" si="27"/>
        <v>0</v>
      </c>
      <c r="BQ395">
        <f t="shared" si="28"/>
        <v>0</v>
      </c>
    </row>
    <row r="396" spans="67:69">
      <c r="BO396">
        <f t="shared" si="26"/>
        <v>0</v>
      </c>
      <c r="BP396">
        <f t="shared" si="27"/>
        <v>0</v>
      </c>
      <c r="BQ396">
        <f t="shared" si="28"/>
        <v>0</v>
      </c>
    </row>
    <row r="397" spans="67:69">
      <c r="BO397">
        <f t="shared" si="26"/>
        <v>0</v>
      </c>
      <c r="BP397">
        <f t="shared" si="27"/>
        <v>0</v>
      </c>
      <c r="BQ397">
        <f t="shared" si="28"/>
        <v>0</v>
      </c>
    </row>
    <row r="398" spans="67:69">
      <c r="BO398">
        <f t="shared" si="26"/>
        <v>0</v>
      </c>
      <c r="BP398">
        <f t="shared" si="27"/>
        <v>0</v>
      </c>
      <c r="BQ398">
        <f t="shared" si="28"/>
        <v>0</v>
      </c>
    </row>
    <row r="399" spans="67:69">
      <c r="BO399">
        <f t="shared" si="26"/>
        <v>0</v>
      </c>
      <c r="BP399">
        <f t="shared" si="27"/>
        <v>0</v>
      </c>
      <c r="BQ399">
        <f t="shared" si="28"/>
        <v>0</v>
      </c>
    </row>
    <row r="400" spans="67:69">
      <c r="BO400">
        <f t="shared" si="26"/>
        <v>0</v>
      </c>
      <c r="BP400">
        <f t="shared" si="27"/>
        <v>0</v>
      </c>
      <c r="BQ400">
        <f t="shared" si="28"/>
        <v>0</v>
      </c>
    </row>
    <row r="401" spans="67:69">
      <c r="BO401">
        <f t="shared" si="26"/>
        <v>0</v>
      </c>
      <c r="BP401">
        <f t="shared" si="27"/>
        <v>0</v>
      </c>
      <c r="BQ401">
        <f t="shared" si="28"/>
        <v>0</v>
      </c>
    </row>
    <row r="402" spans="67:69">
      <c r="BO402">
        <f t="shared" si="26"/>
        <v>0</v>
      </c>
      <c r="BP402">
        <f t="shared" si="27"/>
        <v>0</v>
      </c>
      <c r="BQ402">
        <f t="shared" si="28"/>
        <v>0</v>
      </c>
    </row>
    <row r="403" spans="67:69">
      <c r="BO403">
        <f t="shared" si="26"/>
        <v>0</v>
      </c>
      <c r="BP403">
        <f t="shared" si="27"/>
        <v>0</v>
      </c>
      <c r="BQ403">
        <f t="shared" si="28"/>
        <v>0</v>
      </c>
    </row>
    <row r="404" spans="67:69">
      <c r="BO404">
        <f t="shared" si="26"/>
        <v>0</v>
      </c>
      <c r="BP404">
        <f t="shared" si="27"/>
        <v>0</v>
      </c>
      <c r="BQ404">
        <f t="shared" si="28"/>
        <v>0</v>
      </c>
    </row>
    <row r="405" spans="67:69">
      <c r="BO405">
        <f t="shared" si="26"/>
        <v>0</v>
      </c>
      <c r="BP405">
        <f t="shared" si="27"/>
        <v>0</v>
      </c>
      <c r="BQ405">
        <f t="shared" si="28"/>
        <v>0</v>
      </c>
    </row>
    <row r="406" spans="67:69">
      <c r="BO406">
        <f t="shared" si="26"/>
        <v>0</v>
      </c>
      <c r="BP406">
        <f t="shared" si="27"/>
        <v>0</v>
      </c>
      <c r="BQ406">
        <f t="shared" si="28"/>
        <v>0</v>
      </c>
    </row>
    <row r="407" spans="67:69">
      <c r="BO407">
        <f t="shared" si="26"/>
        <v>0</v>
      </c>
      <c r="BP407">
        <f t="shared" si="27"/>
        <v>0</v>
      </c>
      <c r="BQ407">
        <f t="shared" si="28"/>
        <v>0</v>
      </c>
    </row>
    <row r="408" spans="67:69">
      <c r="BO408">
        <f t="shared" si="26"/>
        <v>0</v>
      </c>
      <c r="BP408">
        <f t="shared" si="27"/>
        <v>0</v>
      </c>
      <c r="BQ408">
        <f t="shared" si="28"/>
        <v>0</v>
      </c>
    </row>
    <row r="409" spans="67:69">
      <c r="BO409">
        <f t="shared" si="26"/>
        <v>0</v>
      </c>
      <c r="BP409">
        <f t="shared" si="27"/>
        <v>0</v>
      </c>
      <c r="BQ409">
        <f t="shared" si="28"/>
        <v>0</v>
      </c>
    </row>
    <row r="410" spans="67:69">
      <c r="BO410">
        <f t="shared" si="26"/>
        <v>0</v>
      </c>
      <c r="BP410">
        <f t="shared" si="27"/>
        <v>0</v>
      </c>
      <c r="BQ410">
        <f t="shared" si="28"/>
        <v>0</v>
      </c>
    </row>
    <row r="411" spans="67:69">
      <c r="BO411">
        <f t="shared" si="26"/>
        <v>0</v>
      </c>
      <c r="BP411">
        <f t="shared" si="27"/>
        <v>0</v>
      </c>
      <c r="BQ411">
        <f t="shared" si="28"/>
        <v>0</v>
      </c>
    </row>
    <row r="412" spans="67:69">
      <c r="BO412">
        <f t="shared" si="26"/>
        <v>0</v>
      </c>
      <c r="BP412">
        <f t="shared" si="27"/>
        <v>0</v>
      </c>
      <c r="BQ412">
        <f t="shared" si="28"/>
        <v>0</v>
      </c>
    </row>
    <row r="413" spans="67:69">
      <c r="BO413">
        <f t="shared" si="26"/>
        <v>0</v>
      </c>
      <c r="BP413">
        <f t="shared" si="27"/>
        <v>0</v>
      </c>
      <c r="BQ413">
        <f t="shared" si="28"/>
        <v>0</v>
      </c>
    </row>
    <row r="414" spans="67:69">
      <c r="BO414">
        <f t="shared" si="26"/>
        <v>0</v>
      </c>
      <c r="BP414">
        <f t="shared" si="27"/>
        <v>0</v>
      </c>
      <c r="BQ414">
        <f t="shared" si="28"/>
        <v>0</v>
      </c>
    </row>
    <row r="415" spans="67:69">
      <c r="BO415">
        <f t="shared" si="26"/>
        <v>0</v>
      </c>
      <c r="BP415">
        <f t="shared" si="27"/>
        <v>0</v>
      </c>
      <c r="BQ415">
        <f t="shared" si="28"/>
        <v>0</v>
      </c>
    </row>
    <row r="416" spans="67:69">
      <c r="BO416">
        <f t="shared" si="26"/>
        <v>0</v>
      </c>
      <c r="BP416">
        <f t="shared" si="27"/>
        <v>0</v>
      </c>
      <c r="BQ416">
        <f t="shared" si="28"/>
        <v>0</v>
      </c>
    </row>
    <row r="417" spans="67:69">
      <c r="BO417">
        <f t="shared" si="26"/>
        <v>0</v>
      </c>
      <c r="BP417">
        <f t="shared" si="27"/>
        <v>0</v>
      </c>
      <c r="BQ417">
        <f t="shared" si="28"/>
        <v>0</v>
      </c>
    </row>
    <row r="418" spans="67:69">
      <c r="BO418">
        <f t="shared" si="26"/>
        <v>0</v>
      </c>
      <c r="BP418">
        <f t="shared" si="27"/>
        <v>0</v>
      </c>
      <c r="BQ418">
        <f t="shared" si="28"/>
        <v>0</v>
      </c>
    </row>
    <row r="419" spans="67:69">
      <c r="BO419">
        <f t="shared" si="26"/>
        <v>0</v>
      </c>
      <c r="BP419">
        <f t="shared" si="27"/>
        <v>0</v>
      </c>
      <c r="BQ419">
        <f t="shared" si="28"/>
        <v>0</v>
      </c>
    </row>
    <row r="420" spans="67:69">
      <c r="BO420">
        <f t="shared" si="26"/>
        <v>0</v>
      </c>
      <c r="BP420">
        <f t="shared" si="27"/>
        <v>0</v>
      </c>
      <c r="BQ420">
        <f t="shared" si="28"/>
        <v>0</v>
      </c>
    </row>
    <row r="421" spans="67:69">
      <c r="BO421">
        <f t="shared" si="26"/>
        <v>0</v>
      </c>
      <c r="BP421">
        <f t="shared" si="27"/>
        <v>0</v>
      </c>
      <c r="BQ421">
        <f t="shared" si="28"/>
        <v>0</v>
      </c>
    </row>
    <row r="422" spans="67:69">
      <c r="BO422">
        <f t="shared" si="26"/>
        <v>0</v>
      </c>
      <c r="BP422">
        <f t="shared" si="27"/>
        <v>0</v>
      </c>
      <c r="BQ422">
        <f t="shared" si="28"/>
        <v>0</v>
      </c>
    </row>
    <row r="423" spans="67:69">
      <c r="BO423">
        <f t="shared" si="26"/>
        <v>0</v>
      </c>
      <c r="BP423">
        <f t="shared" si="27"/>
        <v>0</v>
      </c>
      <c r="BQ423">
        <f t="shared" si="28"/>
        <v>0</v>
      </c>
    </row>
    <row r="424" spans="67:69">
      <c r="BO424">
        <f t="shared" si="26"/>
        <v>0</v>
      </c>
      <c r="BP424">
        <f t="shared" si="27"/>
        <v>0</v>
      </c>
      <c r="BQ424">
        <f t="shared" si="28"/>
        <v>0</v>
      </c>
    </row>
    <row r="425" spans="67:69">
      <c r="BO425">
        <f t="shared" si="26"/>
        <v>0</v>
      </c>
      <c r="BP425">
        <f t="shared" si="27"/>
        <v>0</v>
      </c>
      <c r="BQ425">
        <f t="shared" si="28"/>
        <v>0</v>
      </c>
    </row>
    <row r="426" spans="67:69">
      <c r="BO426">
        <f t="shared" si="26"/>
        <v>0</v>
      </c>
      <c r="BP426">
        <f t="shared" si="27"/>
        <v>0</v>
      </c>
      <c r="BQ426">
        <f t="shared" si="28"/>
        <v>0</v>
      </c>
    </row>
    <row r="427" spans="67:69">
      <c r="BO427">
        <f t="shared" si="26"/>
        <v>0</v>
      </c>
      <c r="BP427">
        <f t="shared" si="27"/>
        <v>0</v>
      </c>
      <c r="BQ427">
        <f t="shared" si="28"/>
        <v>0</v>
      </c>
    </row>
    <row r="428" spans="67:69">
      <c r="BO428">
        <f t="shared" si="26"/>
        <v>0</v>
      </c>
      <c r="BP428">
        <f t="shared" si="27"/>
        <v>0</v>
      </c>
      <c r="BQ428">
        <f t="shared" si="28"/>
        <v>0</v>
      </c>
    </row>
    <row r="429" spans="67:69">
      <c r="BO429">
        <f t="shared" si="26"/>
        <v>0</v>
      </c>
      <c r="BP429">
        <f t="shared" si="27"/>
        <v>0</v>
      </c>
      <c r="BQ429">
        <f t="shared" si="28"/>
        <v>0</v>
      </c>
    </row>
    <row r="430" spans="67:69">
      <c r="BO430">
        <f t="shared" si="26"/>
        <v>0</v>
      </c>
      <c r="BP430">
        <f t="shared" si="27"/>
        <v>0</v>
      </c>
      <c r="BQ430">
        <f t="shared" si="28"/>
        <v>0</v>
      </c>
    </row>
    <row r="431" spans="67:69">
      <c r="BO431">
        <f t="shared" si="26"/>
        <v>0</v>
      </c>
      <c r="BP431">
        <f t="shared" si="27"/>
        <v>0</v>
      </c>
      <c r="BQ431">
        <f t="shared" si="28"/>
        <v>0</v>
      </c>
    </row>
    <row r="432" spans="67:69">
      <c r="BO432">
        <f t="shared" si="26"/>
        <v>0</v>
      </c>
      <c r="BP432">
        <f t="shared" si="27"/>
        <v>0</v>
      </c>
      <c r="BQ432">
        <f t="shared" si="28"/>
        <v>0</v>
      </c>
    </row>
    <row r="433" spans="67:69">
      <c r="BO433">
        <f t="shared" si="26"/>
        <v>0</v>
      </c>
      <c r="BP433">
        <f t="shared" si="27"/>
        <v>0</v>
      </c>
      <c r="BQ433">
        <f t="shared" si="28"/>
        <v>0</v>
      </c>
    </row>
    <row r="434" spans="67:69">
      <c r="BO434">
        <f t="shared" si="26"/>
        <v>0</v>
      </c>
      <c r="BP434">
        <f t="shared" si="27"/>
        <v>0</v>
      </c>
      <c r="BQ434">
        <f t="shared" si="28"/>
        <v>0</v>
      </c>
    </row>
    <row r="435" spans="67:69">
      <c r="BO435">
        <f t="shared" si="26"/>
        <v>0</v>
      </c>
      <c r="BP435">
        <f t="shared" si="27"/>
        <v>0</v>
      </c>
      <c r="BQ435">
        <f t="shared" si="28"/>
        <v>0</v>
      </c>
    </row>
    <row r="436" spans="67:69">
      <c r="BO436">
        <f t="shared" si="26"/>
        <v>0</v>
      </c>
      <c r="BP436">
        <f t="shared" si="27"/>
        <v>0</v>
      </c>
      <c r="BQ436">
        <f t="shared" si="28"/>
        <v>0</v>
      </c>
    </row>
    <row r="437" spans="67:69">
      <c r="BO437">
        <f t="shared" si="26"/>
        <v>0</v>
      </c>
      <c r="BP437">
        <f t="shared" si="27"/>
        <v>0</v>
      </c>
      <c r="BQ437">
        <f t="shared" si="28"/>
        <v>0</v>
      </c>
    </row>
    <row r="438" spans="67:69">
      <c r="BO438">
        <f t="shared" si="26"/>
        <v>0</v>
      </c>
      <c r="BP438">
        <f t="shared" si="27"/>
        <v>0</v>
      </c>
      <c r="BQ438">
        <f t="shared" si="28"/>
        <v>0</v>
      </c>
    </row>
    <row r="439" spans="67:69">
      <c r="BO439">
        <f t="shared" si="26"/>
        <v>0</v>
      </c>
      <c r="BP439">
        <f t="shared" si="27"/>
        <v>0</v>
      </c>
      <c r="BQ439">
        <f t="shared" si="28"/>
        <v>0</v>
      </c>
    </row>
    <row r="440" spans="67:69">
      <c r="BO440">
        <f t="shared" si="26"/>
        <v>0</v>
      </c>
      <c r="BP440">
        <f t="shared" si="27"/>
        <v>0</v>
      </c>
      <c r="BQ440">
        <f t="shared" si="28"/>
        <v>0</v>
      </c>
    </row>
    <row r="441" spans="67:69">
      <c r="BO441">
        <f t="shared" ref="BO441:BO490" si="29">SUM(D441,E441,G441,I441,K441,M441,O441,Q441,S441,U441,Y441,AA441,AC441,AE441,AG441,AI441,AK441,AM441,AO441,AQ441,AS441,AU441,AW441,AY441,BA441,BC441,BE441,BG441,BI441,BK441,BM441)</f>
        <v>0</v>
      </c>
      <c r="BP441">
        <f t="shared" ref="BP441:BP490" si="30">SUM(F441,H441,J441,L441,N441,P441,R441,T441,V441,X441,Z441,AB441,AD441,AF441,AH441,AJ441,AL441,AN441,AP441,AR441,AT441,AV441,AX441,AZ441,BB441,BD441,BF441,BH441,BJ441,BL441,BN441)</f>
        <v>0</v>
      </c>
      <c r="BQ441">
        <f t="shared" ref="BQ441:BQ490" si="31">BO441-BP441</f>
        <v>0</v>
      </c>
    </row>
    <row r="442" spans="67:69">
      <c r="BO442">
        <f t="shared" si="29"/>
        <v>0</v>
      </c>
      <c r="BP442">
        <f t="shared" si="30"/>
        <v>0</v>
      </c>
      <c r="BQ442">
        <f t="shared" si="31"/>
        <v>0</v>
      </c>
    </row>
    <row r="443" spans="67:69">
      <c r="BO443">
        <f t="shared" si="29"/>
        <v>0</v>
      </c>
      <c r="BP443">
        <f t="shared" si="30"/>
        <v>0</v>
      </c>
      <c r="BQ443">
        <f t="shared" si="31"/>
        <v>0</v>
      </c>
    </row>
    <row r="444" spans="67:69">
      <c r="BO444">
        <f t="shared" si="29"/>
        <v>0</v>
      </c>
      <c r="BP444">
        <f t="shared" si="30"/>
        <v>0</v>
      </c>
      <c r="BQ444">
        <f t="shared" si="31"/>
        <v>0</v>
      </c>
    </row>
    <row r="445" spans="67:69">
      <c r="BO445">
        <f t="shared" si="29"/>
        <v>0</v>
      </c>
      <c r="BP445">
        <f t="shared" si="30"/>
        <v>0</v>
      </c>
      <c r="BQ445">
        <f t="shared" si="31"/>
        <v>0</v>
      </c>
    </row>
    <row r="446" spans="67:69">
      <c r="BO446">
        <f t="shared" si="29"/>
        <v>0</v>
      </c>
      <c r="BP446">
        <f t="shared" si="30"/>
        <v>0</v>
      </c>
      <c r="BQ446">
        <f t="shared" si="31"/>
        <v>0</v>
      </c>
    </row>
    <row r="447" spans="67:69">
      <c r="BO447">
        <f t="shared" si="29"/>
        <v>0</v>
      </c>
      <c r="BP447">
        <f t="shared" si="30"/>
        <v>0</v>
      </c>
      <c r="BQ447">
        <f t="shared" si="31"/>
        <v>0</v>
      </c>
    </row>
    <row r="448" spans="67:69">
      <c r="BO448">
        <f t="shared" si="29"/>
        <v>0</v>
      </c>
      <c r="BP448">
        <f t="shared" si="30"/>
        <v>0</v>
      </c>
      <c r="BQ448">
        <f t="shared" si="31"/>
        <v>0</v>
      </c>
    </row>
    <row r="449" spans="67:69">
      <c r="BO449">
        <f t="shared" si="29"/>
        <v>0</v>
      </c>
      <c r="BP449">
        <f t="shared" si="30"/>
        <v>0</v>
      </c>
      <c r="BQ449">
        <f t="shared" si="31"/>
        <v>0</v>
      </c>
    </row>
    <row r="450" spans="67:69">
      <c r="BO450">
        <f t="shared" si="29"/>
        <v>0</v>
      </c>
      <c r="BP450">
        <f t="shared" si="30"/>
        <v>0</v>
      </c>
      <c r="BQ450">
        <f t="shared" si="31"/>
        <v>0</v>
      </c>
    </row>
    <row r="451" spans="67:69">
      <c r="BO451">
        <f t="shared" si="29"/>
        <v>0</v>
      </c>
      <c r="BP451">
        <f t="shared" si="30"/>
        <v>0</v>
      </c>
      <c r="BQ451">
        <f t="shared" si="31"/>
        <v>0</v>
      </c>
    </row>
    <row r="452" spans="67:69">
      <c r="BO452">
        <f t="shared" si="29"/>
        <v>0</v>
      </c>
      <c r="BP452">
        <f t="shared" si="30"/>
        <v>0</v>
      </c>
      <c r="BQ452">
        <f t="shared" si="31"/>
        <v>0</v>
      </c>
    </row>
    <row r="453" spans="67:69">
      <c r="BO453">
        <f t="shared" si="29"/>
        <v>0</v>
      </c>
      <c r="BP453">
        <f t="shared" si="30"/>
        <v>0</v>
      </c>
      <c r="BQ453">
        <f t="shared" si="31"/>
        <v>0</v>
      </c>
    </row>
    <row r="454" spans="67:69">
      <c r="BO454">
        <f t="shared" si="29"/>
        <v>0</v>
      </c>
      <c r="BP454">
        <f t="shared" si="30"/>
        <v>0</v>
      </c>
      <c r="BQ454">
        <f t="shared" si="31"/>
        <v>0</v>
      </c>
    </row>
    <row r="455" spans="67:69">
      <c r="BO455">
        <f t="shared" si="29"/>
        <v>0</v>
      </c>
      <c r="BP455">
        <f t="shared" si="30"/>
        <v>0</v>
      </c>
      <c r="BQ455">
        <f t="shared" si="31"/>
        <v>0</v>
      </c>
    </row>
    <row r="456" spans="67:69">
      <c r="BO456">
        <f t="shared" si="29"/>
        <v>0</v>
      </c>
      <c r="BP456">
        <f t="shared" si="30"/>
        <v>0</v>
      </c>
      <c r="BQ456">
        <f t="shared" si="31"/>
        <v>0</v>
      </c>
    </row>
    <row r="457" spans="67:69">
      <c r="BO457">
        <f t="shared" si="29"/>
        <v>0</v>
      </c>
      <c r="BP457">
        <f t="shared" si="30"/>
        <v>0</v>
      </c>
      <c r="BQ457">
        <f t="shared" si="31"/>
        <v>0</v>
      </c>
    </row>
    <row r="458" spans="67:69">
      <c r="BO458">
        <f t="shared" si="29"/>
        <v>0</v>
      </c>
      <c r="BP458">
        <f t="shared" si="30"/>
        <v>0</v>
      </c>
      <c r="BQ458">
        <f t="shared" si="31"/>
        <v>0</v>
      </c>
    </row>
    <row r="459" spans="67:69">
      <c r="BO459">
        <f t="shared" si="29"/>
        <v>0</v>
      </c>
      <c r="BP459">
        <f t="shared" si="30"/>
        <v>0</v>
      </c>
      <c r="BQ459">
        <f t="shared" si="31"/>
        <v>0</v>
      </c>
    </row>
    <row r="460" spans="67:69">
      <c r="BO460">
        <f t="shared" si="29"/>
        <v>0</v>
      </c>
      <c r="BP460">
        <f t="shared" si="30"/>
        <v>0</v>
      </c>
      <c r="BQ460">
        <f t="shared" si="31"/>
        <v>0</v>
      </c>
    </row>
    <row r="461" spans="67:69">
      <c r="BO461">
        <f t="shared" si="29"/>
        <v>0</v>
      </c>
      <c r="BP461">
        <f t="shared" si="30"/>
        <v>0</v>
      </c>
      <c r="BQ461">
        <f t="shared" si="31"/>
        <v>0</v>
      </c>
    </row>
    <row r="462" spans="67:69">
      <c r="BO462">
        <f t="shared" si="29"/>
        <v>0</v>
      </c>
      <c r="BP462">
        <f t="shared" si="30"/>
        <v>0</v>
      </c>
      <c r="BQ462">
        <f t="shared" si="31"/>
        <v>0</v>
      </c>
    </row>
    <row r="463" spans="67:69">
      <c r="BO463">
        <f t="shared" si="29"/>
        <v>0</v>
      </c>
      <c r="BP463">
        <f t="shared" si="30"/>
        <v>0</v>
      </c>
      <c r="BQ463">
        <f t="shared" si="31"/>
        <v>0</v>
      </c>
    </row>
    <row r="464" spans="67:69">
      <c r="BO464">
        <f t="shared" si="29"/>
        <v>0</v>
      </c>
      <c r="BP464">
        <f t="shared" si="30"/>
        <v>0</v>
      </c>
      <c r="BQ464">
        <f t="shared" si="31"/>
        <v>0</v>
      </c>
    </row>
    <row r="465" spans="67:69">
      <c r="BO465">
        <f t="shared" si="29"/>
        <v>0</v>
      </c>
      <c r="BP465">
        <f t="shared" si="30"/>
        <v>0</v>
      </c>
      <c r="BQ465">
        <f t="shared" si="31"/>
        <v>0</v>
      </c>
    </row>
    <row r="466" spans="67:69">
      <c r="BO466">
        <f t="shared" si="29"/>
        <v>0</v>
      </c>
      <c r="BP466">
        <f t="shared" si="30"/>
        <v>0</v>
      </c>
      <c r="BQ466">
        <f t="shared" si="31"/>
        <v>0</v>
      </c>
    </row>
    <row r="467" spans="67:69">
      <c r="BO467">
        <f t="shared" si="29"/>
        <v>0</v>
      </c>
      <c r="BP467">
        <f t="shared" si="30"/>
        <v>0</v>
      </c>
      <c r="BQ467">
        <f t="shared" si="31"/>
        <v>0</v>
      </c>
    </row>
    <row r="468" spans="67:69">
      <c r="BO468">
        <f t="shared" si="29"/>
        <v>0</v>
      </c>
      <c r="BP468">
        <f t="shared" si="30"/>
        <v>0</v>
      </c>
      <c r="BQ468">
        <f t="shared" si="31"/>
        <v>0</v>
      </c>
    </row>
    <row r="469" spans="67:69">
      <c r="BO469">
        <f t="shared" si="29"/>
        <v>0</v>
      </c>
      <c r="BP469">
        <f t="shared" si="30"/>
        <v>0</v>
      </c>
      <c r="BQ469">
        <f t="shared" si="31"/>
        <v>0</v>
      </c>
    </row>
    <row r="470" spans="67:69">
      <c r="BO470">
        <f t="shared" si="29"/>
        <v>0</v>
      </c>
      <c r="BP470">
        <f t="shared" si="30"/>
        <v>0</v>
      </c>
      <c r="BQ470">
        <f t="shared" si="31"/>
        <v>0</v>
      </c>
    </row>
    <row r="471" spans="67:69">
      <c r="BO471">
        <f t="shared" si="29"/>
        <v>0</v>
      </c>
      <c r="BP471">
        <f t="shared" si="30"/>
        <v>0</v>
      </c>
      <c r="BQ471">
        <f t="shared" si="31"/>
        <v>0</v>
      </c>
    </row>
    <row r="472" spans="67:69">
      <c r="BO472">
        <f t="shared" si="29"/>
        <v>0</v>
      </c>
      <c r="BP472">
        <f t="shared" si="30"/>
        <v>0</v>
      </c>
      <c r="BQ472">
        <f t="shared" si="31"/>
        <v>0</v>
      </c>
    </row>
    <row r="473" spans="67:69">
      <c r="BO473">
        <f t="shared" si="29"/>
        <v>0</v>
      </c>
      <c r="BP473">
        <f t="shared" si="30"/>
        <v>0</v>
      </c>
      <c r="BQ473">
        <f t="shared" si="31"/>
        <v>0</v>
      </c>
    </row>
    <row r="474" spans="67:69">
      <c r="BO474">
        <f t="shared" si="29"/>
        <v>0</v>
      </c>
      <c r="BP474">
        <f t="shared" si="30"/>
        <v>0</v>
      </c>
      <c r="BQ474">
        <f t="shared" si="31"/>
        <v>0</v>
      </c>
    </row>
    <row r="475" spans="67:69">
      <c r="BO475">
        <f t="shared" si="29"/>
        <v>0</v>
      </c>
      <c r="BP475">
        <f t="shared" si="30"/>
        <v>0</v>
      </c>
      <c r="BQ475">
        <f t="shared" si="31"/>
        <v>0</v>
      </c>
    </row>
    <row r="476" spans="67:69">
      <c r="BO476">
        <f t="shared" si="29"/>
        <v>0</v>
      </c>
      <c r="BP476">
        <f t="shared" si="30"/>
        <v>0</v>
      </c>
      <c r="BQ476">
        <f t="shared" si="31"/>
        <v>0</v>
      </c>
    </row>
    <row r="477" spans="67:69">
      <c r="BO477">
        <f t="shared" si="29"/>
        <v>0</v>
      </c>
      <c r="BP477">
        <f t="shared" si="30"/>
        <v>0</v>
      </c>
      <c r="BQ477">
        <f t="shared" si="31"/>
        <v>0</v>
      </c>
    </row>
    <row r="478" spans="67:69">
      <c r="BO478">
        <f t="shared" si="29"/>
        <v>0</v>
      </c>
      <c r="BP478">
        <f t="shared" si="30"/>
        <v>0</v>
      </c>
      <c r="BQ478">
        <f t="shared" si="31"/>
        <v>0</v>
      </c>
    </row>
    <row r="479" spans="67:69">
      <c r="BO479">
        <f t="shared" si="29"/>
        <v>0</v>
      </c>
      <c r="BP479">
        <f t="shared" si="30"/>
        <v>0</v>
      </c>
      <c r="BQ479">
        <f t="shared" si="31"/>
        <v>0</v>
      </c>
    </row>
    <row r="480" spans="67:69">
      <c r="BO480">
        <f t="shared" si="29"/>
        <v>0</v>
      </c>
      <c r="BP480">
        <f t="shared" si="30"/>
        <v>0</v>
      </c>
      <c r="BQ480">
        <f t="shared" si="31"/>
        <v>0</v>
      </c>
    </row>
    <row r="481" spans="67:69">
      <c r="BO481">
        <f t="shared" si="29"/>
        <v>0</v>
      </c>
      <c r="BP481">
        <f t="shared" si="30"/>
        <v>0</v>
      </c>
      <c r="BQ481">
        <f t="shared" si="31"/>
        <v>0</v>
      </c>
    </row>
    <row r="482" spans="67:69">
      <c r="BO482">
        <f t="shared" si="29"/>
        <v>0</v>
      </c>
      <c r="BP482">
        <f t="shared" si="30"/>
        <v>0</v>
      </c>
      <c r="BQ482">
        <f t="shared" si="31"/>
        <v>0</v>
      </c>
    </row>
    <row r="483" spans="67:69">
      <c r="BO483">
        <f t="shared" si="29"/>
        <v>0</v>
      </c>
      <c r="BP483">
        <f t="shared" si="30"/>
        <v>0</v>
      </c>
      <c r="BQ483">
        <f t="shared" si="31"/>
        <v>0</v>
      </c>
    </row>
    <row r="484" spans="67:69">
      <c r="BO484">
        <f t="shared" si="29"/>
        <v>0</v>
      </c>
      <c r="BP484">
        <f t="shared" si="30"/>
        <v>0</v>
      </c>
      <c r="BQ484">
        <f t="shared" si="31"/>
        <v>0</v>
      </c>
    </row>
    <row r="485" spans="67:69">
      <c r="BO485">
        <f t="shared" si="29"/>
        <v>0</v>
      </c>
      <c r="BP485">
        <f t="shared" si="30"/>
        <v>0</v>
      </c>
      <c r="BQ485">
        <f t="shared" si="31"/>
        <v>0</v>
      </c>
    </row>
    <row r="486" spans="67:69">
      <c r="BO486">
        <f t="shared" si="29"/>
        <v>0</v>
      </c>
      <c r="BP486">
        <f t="shared" si="30"/>
        <v>0</v>
      </c>
      <c r="BQ486">
        <f t="shared" si="31"/>
        <v>0</v>
      </c>
    </row>
    <row r="487" spans="67:69">
      <c r="BO487">
        <f t="shared" si="29"/>
        <v>0</v>
      </c>
      <c r="BP487">
        <f t="shared" si="30"/>
        <v>0</v>
      </c>
      <c r="BQ487">
        <f t="shared" si="31"/>
        <v>0</v>
      </c>
    </row>
    <row r="488" spans="67:69">
      <c r="BO488">
        <f t="shared" si="29"/>
        <v>0</v>
      </c>
      <c r="BP488">
        <f t="shared" si="30"/>
        <v>0</v>
      </c>
      <c r="BQ488">
        <f t="shared" si="31"/>
        <v>0</v>
      </c>
    </row>
    <row r="489" spans="67:69">
      <c r="BO489">
        <f t="shared" si="29"/>
        <v>0</v>
      </c>
      <c r="BP489">
        <f t="shared" si="30"/>
        <v>0</v>
      </c>
      <c r="BQ489">
        <f t="shared" si="31"/>
        <v>0</v>
      </c>
    </row>
    <row r="490" spans="67:69">
      <c r="BO490">
        <f t="shared" si="29"/>
        <v>0</v>
      </c>
      <c r="BP490">
        <f t="shared" si="30"/>
        <v>0</v>
      </c>
      <c r="BQ490">
        <f t="shared" si="31"/>
        <v>0</v>
      </c>
    </row>
  </sheetData>
  <mergeCells count="35"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O2"/>
    <mergeCell ref="BP1:BP2"/>
    <mergeCell ref="BQ1:BQ2"/>
    <mergeCell ref="BR1:B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xRASECx</dc:creator>
  <cp:lastModifiedBy>Cesar Sugarno</cp:lastModifiedBy>
  <dcterms:created xsi:type="dcterms:W3CDTF">2026-08-04T22:22:00Z</dcterms:created>
  <dcterms:modified xsi:type="dcterms:W3CDTF">2026-09-04T06:02:12Z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A6EBEAB2A0F24F9E8A5D6AA30FE38017_13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